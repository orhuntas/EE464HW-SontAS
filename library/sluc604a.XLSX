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C:\Users\DELL\Documents\ee things\464\EE464HW-SontAS\library\"/>
    </mc:Choice>
  </mc:AlternateContent>
  <xr:revisionPtr revIDLastSave="0" documentId="13_ncr:1_{B084E6E8-C8C1-4A31-8766-C11C0D5006BE}" xr6:coauthVersionLast="44" xr6:coauthVersionMax="44" xr10:uidLastSave="{00000000-0000-0000-0000-000000000000}"/>
  <bookViews>
    <workbookView xWindow="-109" yWindow="-109" windowWidth="26301" windowHeight="14889" xr2:uid="{00000000-000D-0000-FFFF-FFFF00000000}"/>
  </bookViews>
  <sheets>
    <sheet name="Design Inputs &amp; Calculations" sheetId="5"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65" i="5" l="1"/>
  <c r="Q49" i="5" l="1"/>
  <c r="Q48" i="5" l="1"/>
  <c r="D68" i="5"/>
  <c r="D48" i="5"/>
  <c r="D50" i="5"/>
  <c r="F50" i="5" s="1"/>
  <c r="F49" i="5" l="1"/>
  <c r="Q46" i="5"/>
  <c r="Q47" i="5"/>
  <c r="D58" i="5"/>
  <c r="D51" i="5"/>
  <c r="F51" i="5" s="1"/>
  <c r="D74" i="5"/>
  <c r="D80" i="5"/>
  <c r="D53" i="5" l="1"/>
  <c r="D72" i="5" l="1"/>
  <c r="D78" i="5"/>
  <c r="F59" i="5"/>
  <c r="D62" i="5"/>
  <c r="F62" i="5" s="1"/>
  <c r="D60" i="5"/>
  <c r="F60" i="5" s="1"/>
  <c r="D61" i="5" l="1"/>
  <c r="D73" i="5"/>
  <c r="D79" i="5" s="1"/>
  <c r="D66" i="5"/>
  <c r="F67" i="5" s="1"/>
  <c r="D81" i="5" l="1"/>
  <c r="D75" i="5"/>
  <c r="D52" i="5" l="1"/>
  <c r="F52" i="5" s="1"/>
</calcChain>
</file>

<file path=xl/sharedStrings.xml><?xml version="1.0" encoding="utf-8"?>
<sst xmlns="http://schemas.openxmlformats.org/spreadsheetml/2006/main" count="147" uniqueCount="112">
  <si>
    <t>DESIGN REQUIREMENTS</t>
  </si>
  <si>
    <t>Vdc</t>
  </si>
  <si>
    <t>pF</t>
  </si>
  <si>
    <t xml:space="preserve"> </t>
  </si>
  <si>
    <t>kHz</t>
  </si>
  <si>
    <r>
      <t>D</t>
    </r>
    <r>
      <rPr>
        <b/>
        <vertAlign val="subscript"/>
        <sz val="11"/>
        <rFont val="Calibri"/>
        <family val="2"/>
        <scheme val="minor"/>
      </rPr>
      <t>MAX</t>
    </r>
  </si>
  <si>
    <t>Primary to Secondary Turns Ratio</t>
  </si>
  <si>
    <r>
      <t>N</t>
    </r>
    <r>
      <rPr>
        <b/>
        <vertAlign val="subscript"/>
        <sz val="11"/>
        <rFont val="Calibri"/>
        <family val="2"/>
        <scheme val="minor"/>
      </rPr>
      <t>PS</t>
    </r>
  </si>
  <si>
    <r>
      <t>L</t>
    </r>
    <r>
      <rPr>
        <b/>
        <vertAlign val="subscript"/>
        <sz val="11"/>
        <rFont val="Calibri"/>
        <family val="2"/>
        <scheme val="minor"/>
      </rPr>
      <t>PRI</t>
    </r>
  </si>
  <si>
    <t>nC</t>
  </si>
  <si>
    <t>RATIO_RAMP</t>
  </si>
  <si>
    <t>IDD_SB</t>
  </si>
  <si>
    <t>IDD</t>
  </si>
  <si>
    <r>
      <t>k</t>
    </r>
    <r>
      <rPr>
        <b/>
        <sz val="11"/>
        <color theme="1"/>
        <rFont val="Calibri"/>
        <family val="2"/>
      </rPr>
      <t>Ω</t>
    </r>
  </si>
  <si>
    <t>VSC_RATIO</t>
  </si>
  <si>
    <t>mW</t>
  </si>
  <si>
    <t xml:space="preserve">Quiescent power of UCC24630 </t>
  </si>
  <si>
    <t>ns</t>
  </si>
  <si>
    <r>
      <t>Total power loss in VPC divider (R</t>
    </r>
    <r>
      <rPr>
        <vertAlign val="subscript"/>
        <sz val="11"/>
        <color theme="1"/>
        <rFont val="Calibri"/>
        <family val="2"/>
        <scheme val="minor"/>
      </rPr>
      <t>VPC1</t>
    </r>
    <r>
      <rPr>
        <sz val="11"/>
        <color theme="1"/>
        <rFont val="Calibri"/>
        <family val="2"/>
        <scheme val="minor"/>
      </rPr>
      <t xml:space="preserve"> and R</t>
    </r>
    <r>
      <rPr>
        <vertAlign val="subscript"/>
        <sz val="11"/>
        <color theme="1"/>
        <rFont val="Calibri"/>
        <family val="2"/>
        <scheme val="minor"/>
      </rPr>
      <t>VPC2</t>
    </r>
    <r>
      <rPr>
        <sz val="11"/>
        <color theme="1"/>
        <rFont val="Calibri"/>
        <family val="2"/>
        <scheme val="minor"/>
      </rPr>
      <t xml:space="preserve">)                </t>
    </r>
  </si>
  <si>
    <r>
      <t>Total power loss in VSC divider (R</t>
    </r>
    <r>
      <rPr>
        <vertAlign val="subscript"/>
        <sz val="11"/>
        <color theme="1"/>
        <rFont val="Calibri"/>
        <family val="2"/>
        <scheme val="minor"/>
      </rPr>
      <t>VSC1</t>
    </r>
    <r>
      <rPr>
        <sz val="11"/>
        <color theme="1"/>
        <rFont val="Calibri"/>
        <family val="2"/>
        <scheme val="minor"/>
      </rPr>
      <t xml:space="preserve"> and R</t>
    </r>
    <r>
      <rPr>
        <vertAlign val="subscript"/>
        <sz val="11"/>
        <color theme="1"/>
        <rFont val="Calibri"/>
        <family val="2"/>
        <scheme val="minor"/>
      </rPr>
      <t>VSC2</t>
    </r>
    <r>
      <rPr>
        <sz val="11"/>
        <color theme="1"/>
        <rFont val="Calibri"/>
        <family val="2"/>
        <scheme val="minor"/>
      </rPr>
      <t xml:space="preserve">)                </t>
    </r>
  </si>
  <si>
    <t>Power Loss in UCC24630 (includes gate drive power)</t>
  </si>
  <si>
    <t>Power Dissipation at Maximum Switching Frequency</t>
  </si>
  <si>
    <r>
      <t>Q</t>
    </r>
    <r>
      <rPr>
        <b/>
        <vertAlign val="subscript"/>
        <sz val="11"/>
        <rFont val="Calibri"/>
        <family val="2"/>
        <scheme val="minor"/>
      </rPr>
      <t>G</t>
    </r>
  </si>
  <si>
    <r>
      <t>f</t>
    </r>
    <r>
      <rPr>
        <b/>
        <vertAlign val="subscript"/>
        <sz val="10"/>
        <rFont val="Arial"/>
        <family val="2"/>
      </rPr>
      <t>SW</t>
    </r>
  </si>
  <si>
    <r>
      <rPr>
        <b/>
        <sz val="10"/>
        <color theme="1"/>
        <rFont val="Calibri"/>
        <family val="2"/>
      </rPr>
      <t>µ</t>
    </r>
    <r>
      <rPr>
        <b/>
        <sz val="10"/>
        <color theme="1"/>
        <rFont val="Arial"/>
        <family val="2"/>
      </rPr>
      <t>H</t>
    </r>
  </si>
  <si>
    <t>µs</t>
  </si>
  <si>
    <t>V-µs</t>
  </si>
  <si>
    <t>Primary Magnetizing Inductance</t>
  </si>
  <si>
    <t xml:space="preserve">USER INPUTS  =  </t>
  </si>
  <si>
    <r>
      <t>C</t>
    </r>
    <r>
      <rPr>
        <b/>
        <vertAlign val="subscript"/>
        <sz val="11"/>
        <rFont val="Calibri"/>
        <family val="2"/>
        <scheme val="minor"/>
      </rPr>
      <t>SWN</t>
    </r>
  </si>
  <si>
    <t>TRANSFORMER</t>
  </si>
  <si>
    <t xml:space="preserve"> (no dependents)</t>
  </si>
  <si>
    <r>
      <t>t</t>
    </r>
    <r>
      <rPr>
        <vertAlign val="subscript"/>
        <sz val="11"/>
        <color theme="1"/>
        <rFont val="Calibri"/>
        <family val="2"/>
        <scheme val="minor"/>
      </rPr>
      <t>SEC(MAX)</t>
    </r>
    <r>
      <rPr>
        <sz val="11"/>
        <color theme="1"/>
        <rFont val="Calibri"/>
        <family val="2"/>
        <scheme val="minor"/>
      </rPr>
      <t xml:space="preserve">  Max Secondary Conduction Time </t>
    </r>
  </si>
  <si>
    <t>USER-SELECTED SYSTEM PARAMETERS</t>
  </si>
  <si>
    <r>
      <t>R</t>
    </r>
    <r>
      <rPr>
        <b/>
        <vertAlign val="subscript"/>
        <sz val="11"/>
        <color theme="1"/>
        <rFont val="Calibri"/>
        <family val="2"/>
        <scheme val="minor"/>
      </rPr>
      <t>VPC2</t>
    </r>
    <r>
      <rPr>
        <b/>
        <sz val="11"/>
        <color theme="1"/>
        <rFont val="Calibri"/>
        <family val="2"/>
        <scheme val="minor"/>
      </rPr>
      <t xml:space="preserve"> </t>
    </r>
  </si>
  <si>
    <r>
      <t>R</t>
    </r>
    <r>
      <rPr>
        <b/>
        <vertAlign val="subscript"/>
        <sz val="11"/>
        <color theme="1"/>
        <rFont val="Calibri"/>
        <family val="2"/>
        <scheme val="minor"/>
      </rPr>
      <t>VPC1</t>
    </r>
  </si>
  <si>
    <r>
      <t>R</t>
    </r>
    <r>
      <rPr>
        <b/>
        <vertAlign val="subscript"/>
        <sz val="11"/>
        <color theme="1"/>
        <rFont val="Calibri"/>
        <family val="2"/>
        <scheme val="minor"/>
      </rPr>
      <t>VPC1calc</t>
    </r>
    <r>
      <rPr>
        <b/>
        <sz val="11"/>
        <color theme="1"/>
        <rFont val="Calibri"/>
        <family val="2"/>
        <scheme val="minor"/>
      </rPr>
      <t xml:space="preserve"> </t>
    </r>
  </si>
  <si>
    <r>
      <t>t</t>
    </r>
    <r>
      <rPr>
        <b/>
        <vertAlign val="subscript"/>
        <sz val="11"/>
        <color theme="1"/>
        <rFont val="Calibri"/>
        <family val="2"/>
        <scheme val="minor"/>
      </rPr>
      <t>BLNK</t>
    </r>
  </si>
  <si>
    <r>
      <t>R</t>
    </r>
    <r>
      <rPr>
        <b/>
        <vertAlign val="subscript"/>
        <sz val="11"/>
        <color theme="1"/>
        <rFont val="Calibri"/>
        <family val="2"/>
        <scheme val="minor"/>
      </rPr>
      <t>TBLKcalc</t>
    </r>
    <r>
      <rPr>
        <b/>
        <sz val="11"/>
        <color theme="1"/>
        <rFont val="Calibri"/>
        <family val="2"/>
        <scheme val="minor"/>
      </rPr>
      <t xml:space="preserve"> </t>
    </r>
  </si>
  <si>
    <r>
      <t>R</t>
    </r>
    <r>
      <rPr>
        <b/>
        <vertAlign val="subscript"/>
        <sz val="11"/>
        <color theme="1"/>
        <rFont val="Calibri"/>
        <family val="2"/>
        <scheme val="minor"/>
      </rPr>
      <t>TBLK</t>
    </r>
  </si>
  <si>
    <r>
      <t>R</t>
    </r>
    <r>
      <rPr>
        <b/>
        <vertAlign val="subscript"/>
        <sz val="11"/>
        <color theme="1"/>
        <rFont val="Calibri"/>
        <family val="2"/>
        <scheme val="minor"/>
      </rPr>
      <t>VSC1</t>
    </r>
  </si>
  <si>
    <r>
      <t>R</t>
    </r>
    <r>
      <rPr>
        <b/>
        <vertAlign val="subscript"/>
        <sz val="11"/>
        <color theme="1"/>
        <rFont val="Calibri"/>
        <family val="2"/>
        <scheme val="minor"/>
      </rPr>
      <t>VSC1calc</t>
    </r>
    <r>
      <rPr>
        <b/>
        <sz val="11"/>
        <color theme="1"/>
        <rFont val="Calibri"/>
        <family val="2"/>
        <scheme val="minor"/>
      </rPr>
      <t xml:space="preserve"> </t>
    </r>
  </si>
  <si>
    <r>
      <t>R</t>
    </r>
    <r>
      <rPr>
        <b/>
        <vertAlign val="subscript"/>
        <sz val="11"/>
        <color theme="1"/>
        <rFont val="Calibri"/>
        <family val="2"/>
        <scheme val="minor"/>
      </rPr>
      <t>VSC2</t>
    </r>
    <r>
      <rPr>
        <b/>
        <sz val="11"/>
        <color theme="1"/>
        <rFont val="Calibri"/>
        <family val="2"/>
        <scheme val="minor"/>
      </rPr>
      <t xml:space="preserve"> </t>
    </r>
  </si>
  <si>
    <t>Top resistor of VSC divider, calculated value:</t>
  </si>
  <si>
    <t>Top resistor of VPC divider, calculated value:</t>
  </si>
  <si>
    <r>
      <t>V</t>
    </r>
    <r>
      <rPr>
        <b/>
        <vertAlign val="subscript"/>
        <sz val="10"/>
        <rFont val="Arial"/>
        <family val="2"/>
      </rPr>
      <t>BULK(max)</t>
    </r>
  </si>
  <si>
    <r>
      <t>V</t>
    </r>
    <r>
      <rPr>
        <b/>
        <vertAlign val="subscript"/>
        <sz val="10"/>
        <rFont val="Arial"/>
        <family val="2"/>
      </rPr>
      <t>BULK(min)</t>
    </r>
  </si>
  <si>
    <r>
      <t>V</t>
    </r>
    <r>
      <rPr>
        <b/>
        <vertAlign val="subscript"/>
        <sz val="10"/>
        <rFont val="Arial"/>
        <family val="2"/>
      </rPr>
      <t>OUT(max)</t>
    </r>
  </si>
  <si>
    <r>
      <t>V</t>
    </r>
    <r>
      <rPr>
        <b/>
        <vertAlign val="subscript"/>
        <sz val="10"/>
        <rFont val="Arial"/>
        <family val="2"/>
      </rPr>
      <t>OUT(nom)</t>
    </r>
  </si>
  <si>
    <r>
      <t>V</t>
    </r>
    <r>
      <rPr>
        <b/>
        <vertAlign val="subscript"/>
        <sz val="10"/>
        <rFont val="Arial"/>
        <family val="2"/>
      </rPr>
      <t>OUT(min)</t>
    </r>
  </si>
  <si>
    <r>
      <t>t</t>
    </r>
    <r>
      <rPr>
        <b/>
        <vertAlign val="subscript"/>
        <sz val="11"/>
        <rFont val="Calibri"/>
        <family val="2"/>
        <scheme val="minor"/>
      </rPr>
      <t>ON(min)</t>
    </r>
  </si>
  <si>
    <r>
      <t>VPC</t>
    </r>
    <r>
      <rPr>
        <b/>
        <vertAlign val="subscript"/>
        <sz val="11"/>
        <color theme="1"/>
        <rFont val="Calibri"/>
        <family val="2"/>
        <scheme val="minor"/>
      </rPr>
      <t>(max)</t>
    </r>
    <r>
      <rPr>
        <b/>
        <sz val="11"/>
        <color theme="1"/>
        <rFont val="Calibri"/>
        <family val="2"/>
        <scheme val="minor"/>
      </rPr>
      <t xml:space="preserve"> </t>
    </r>
  </si>
  <si>
    <r>
      <t>VPC</t>
    </r>
    <r>
      <rPr>
        <b/>
        <vertAlign val="subscript"/>
        <sz val="11"/>
        <color theme="1"/>
        <rFont val="Calibri"/>
        <family val="2"/>
        <scheme val="minor"/>
      </rPr>
      <t>(min)</t>
    </r>
    <r>
      <rPr>
        <b/>
        <sz val="11"/>
        <color theme="1"/>
        <rFont val="Calibri"/>
        <family val="2"/>
        <scheme val="minor"/>
      </rPr>
      <t xml:space="preserve"> </t>
    </r>
  </si>
  <si>
    <r>
      <t>t</t>
    </r>
    <r>
      <rPr>
        <b/>
        <vertAlign val="subscript"/>
        <sz val="11"/>
        <color theme="1"/>
        <rFont val="Calibri"/>
        <family val="2"/>
        <scheme val="minor"/>
      </rPr>
      <t>SEC(max)</t>
    </r>
  </si>
  <si>
    <r>
      <t>VPC</t>
    </r>
    <r>
      <rPr>
        <b/>
        <vertAlign val="subscript"/>
        <sz val="9"/>
        <color theme="1"/>
        <rFont val="Calibri"/>
        <family val="2"/>
        <scheme val="minor"/>
      </rPr>
      <t>(min)</t>
    </r>
    <r>
      <rPr>
        <b/>
        <sz val="9"/>
        <color theme="1"/>
        <rFont val="Calibri"/>
        <family val="2"/>
        <scheme val="minor"/>
      </rPr>
      <t>t</t>
    </r>
    <r>
      <rPr>
        <b/>
        <vertAlign val="subscript"/>
        <sz val="9"/>
        <color theme="1"/>
        <rFont val="Calibri"/>
        <family val="2"/>
        <scheme val="minor"/>
      </rPr>
      <t>SEC(max)</t>
    </r>
    <r>
      <rPr>
        <b/>
        <sz val="9"/>
        <color theme="1"/>
        <rFont val="Calibri"/>
        <family val="2"/>
        <scheme val="minor"/>
      </rPr>
      <t xml:space="preserve"> </t>
    </r>
  </si>
  <si>
    <r>
      <t>VSC</t>
    </r>
    <r>
      <rPr>
        <b/>
        <vertAlign val="subscript"/>
        <sz val="11"/>
        <color theme="1"/>
        <rFont val="Calibri"/>
        <family val="2"/>
        <scheme val="minor"/>
      </rPr>
      <t>(max)</t>
    </r>
    <r>
      <rPr>
        <b/>
        <sz val="11"/>
        <color theme="1"/>
        <rFont val="Calibri"/>
        <family val="2"/>
        <scheme val="minor"/>
      </rPr>
      <t xml:space="preserve"> </t>
    </r>
  </si>
  <si>
    <r>
      <t>VSC</t>
    </r>
    <r>
      <rPr>
        <b/>
        <vertAlign val="subscript"/>
        <sz val="11"/>
        <color theme="1"/>
        <rFont val="Calibri"/>
        <family val="2"/>
        <scheme val="minor"/>
      </rPr>
      <t>(nom)</t>
    </r>
    <r>
      <rPr>
        <b/>
        <sz val="11"/>
        <color theme="1"/>
        <rFont val="Calibri"/>
        <family val="2"/>
        <scheme val="minor"/>
      </rPr>
      <t xml:space="preserve"> </t>
    </r>
  </si>
  <si>
    <r>
      <t>VSC</t>
    </r>
    <r>
      <rPr>
        <b/>
        <vertAlign val="subscript"/>
        <sz val="11"/>
        <color theme="1"/>
        <rFont val="Calibri"/>
        <family val="2"/>
        <scheme val="minor"/>
      </rPr>
      <t>(min)</t>
    </r>
    <r>
      <rPr>
        <b/>
        <sz val="11"/>
        <color theme="1"/>
        <rFont val="Calibri"/>
        <family val="2"/>
        <scheme val="minor"/>
      </rPr>
      <t xml:space="preserve"> </t>
    </r>
  </si>
  <si>
    <t>Minimum voltage at VPC for operation;   should be &gt; 0.45 Vdc</t>
  </si>
  <si>
    <t>Nominal voltage at VSC during steady-state operation</t>
  </si>
  <si>
    <t>Blanking resistor, calculated value:</t>
  </si>
  <si>
    <t>Minimum bulk voltage at full load, low line</t>
  </si>
  <si>
    <t>Maximum bulk voltage at light load, high line</t>
  </si>
  <si>
    <t>Highest output voltage at which SR must operate</t>
  </si>
  <si>
    <t>Lowest output voltage at which SR must operate</t>
  </si>
  <si>
    <t>Regulated output voltage in steady-state</t>
  </si>
  <si>
    <t>Switching frequency at full load, low line</t>
  </si>
  <si>
    <t>Minimum primary-side ON time</t>
  </si>
  <si>
    <t>Maximum primary-side duty cycle</t>
  </si>
  <si>
    <r>
      <t>SR MOSFET (Q</t>
    </r>
    <r>
      <rPr>
        <b/>
        <vertAlign val="subscript"/>
        <sz val="12"/>
        <color theme="0"/>
        <rFont val="Arial"/>
        <family val="2"/>
      </rPr>
      <t>SR</t>
    </r>
    <r>
      <rPr>
        <b/>
        <sz val="12"/>
        <color theme="0"/>
        <rFont val="Arial"/>
        <family val="2"/>
      </rPr>
      <t>)</t>
    </r>
  </si>
  <si>
    <t>Maximum voltage at VPC for linearity;        should be &lt; 2.2 Vdc</t>
  </si>
  <si>
    <t>Maximum voltage at VSC for linearity;        should be &lt;2.2 Vdc</t>
  </si>
  <si>
    <t>TI Literature Number:</t>
  </si>
  <si>
    <t>CLEAR ALL USER INPUT CELLS BEFORE STARTING A NEW DESIGN</t>
  </si>
  <si>
    <t>WHERE APPLICABLE, A RECOMMENDED VALUE IS GIVEN THAT WILL BE THE BEST CHOICE TO MEET THE GIVEN SPECIFICATION.  IT IS IN THE BEST INTEREST OF THE USER TO USE A VALUE AS CLOSE AS POSSIBLE TO THE SUGGESTED RECOMMENDED VALUE.  FOR ACCURATE RESULTS, THE USER MUST ENTER THE ACTUAL VALUE USED IN THE APPROPRIATE CELL.</t>
  </si>
  <si>
    <t>Disclaimer:</t>
  </si>
  <si>
    <t>SYSTEM INPUT SPECIFICATIONS:</t>
  </si>
  <si>
    <t>SYSTEM OUTPUT SPECIFICATIONS:</t>
  </si>
  <si>
    <r>
      <t>Total primary-side switched-node capacitance at V</t>
    </r>
    <r>
      <rPr>
        <vertAlign val="subscript"/>
        <sz val="11"/>
        <color theme="1"/>
        <rFont val="Calibri"/>
        <family val="2"/>
        <scheme val="minor"/>
      </rPr>
      <t>BULK(min)</t>
    </r>
  </si>
  <si>
    <t>Device parameters</t>
  </si>
  <si>
    <t>Total SR MOSFET gate charge at Vgs = VDD, (up to 13 V max)</t>
  </si>
  <si>
    <t>Bottom resistor of VPC divider, user-selected value:</t>
  </si>
  <si>
    <r>
      <t xml:space="preserve">Nearest resistance </t>
    </r>
    <r>
      <rPr>
        <sz val="11"/>
        <color theme="1"/>
        <rFont val="Calibri"/>
        <family val="2"/>
      </rPr>
      <t>≈</t>
    </r>
    <r>
      <rPr>
        <sz val="11"/>
        <color theme="1"/>
        <rFont val="Calibri"/>
        <family val="2"/>
        <scheme val="minor"/>
      </rPr>
      <t xml:space="preserve"> calculated, user-selected value:</t>
    </r>
  </si>
  <si>
    <t>Bottom resistor of VSC divider, user-selected value:</t>
  </si>
  <si>
    <r>
      <t xml:space="preserve">Nearest resistance </t>
    </r>
    <r>
      <rPr>
        <b/>
        <sz val="11"/>
        <color theme="1"/>
        <rFont val="Calibri"/>
        <family val="2"/>
      </rPr>
      <t>≤</t>
    </r>
    <r>
      <rPr>
        <sz val="11"/>
        <color theme="1"/>
        <rFont val="Calibri"/>
        <family val="2"/>
        <scheme val="minor"/>
      </rPr>
      <t xml:space="preserve"> calculated, user-selected value:</t>
    </r>
  </si>
  <si>
    <r>
      <rPr>
        <b/>
        <sz val="12"/>
        <color theme="1"/>
        <rFont val="Wingdings 3"/>
        <family val="1"/>
        <charset val="2"/>
      </rPr>
      <t xml:space="preserve">â </t>
    </r>
    <r>
      <rPr>
        <b/>
        <sz val="12"/>
        <color theme="1"/>
        <rFont val="Calibri"/>
        <family val="2"/>
        <scheme val="minor"/>
      </rPr>
      <t xml:space="preserve">All user-specified resistors should be </t>
    </r>
    <r>
      <rPr>
        <b/>
        <sz val="12"/>
        <color theme="1"/>
        <rFont val="Calibri"/>
        <family val="2"/>
      </rPr>
      <t xml:space="preserve">±1% or better.  </t>
    </r>
  </si>
  <si>
    <r>
      <t>VPC</t>
    </r>
    <r>
      <rPr>
        <vertAlign val="subscript"/>
        <sz val="11"/>
        <color theme="1"/>
        <rFont val="Calibri"/>
        <family val="2"/>
        <scheme val="minor"/>
      </rPr>
      <t>(MIN)</t>
    </r>
    <r>
      <rPr>
        <sz val="11"/>
        <color theme="1"/>
        <rFont val="Calibri"/>
        <family val="2"/>
        <scheme val="minor"/>
      </rPr>
      <t>t</t>
    </r>
    <r>
      <rPr>
        <vertAlign val="subscript"/>
        <sz val="11"/>
        <color theme="1"/>
        <rFont val="Calibri"/>
        <family val="2"/>
        <scheme val="minor"/>
      </rPr>
      <t>SEC(MAX)</t>
    </r>
    <r>
      <rPr>
        <sz val="11"/>
        <color theme="1"/>
        <rFont val="Calibri"/>
        <family val="2"/>
        <scheme val="minor"/>
      </rPr>
      <t xml:space="preserve">  Max VPC Volt-Sec product should be &lt; 6.4 V-µs</t>
    </r>
  </si>
  <si>
    <t>VPCEN(max)</t>
  </si>
  <si>
    <t>VPC(max)</t>
  </si>
  <si>
    <t>VSC(min)</t>
  </si>
  <si>
    <t>VSC(max)</t>
  </si>
  <si>
    <t>VPC V-us(max)</t>
  </si>
  <si>
    <t>Minimum voltage at VSC for operation;   should be &gt; 0.28 Vdc</t>
  </si>
  <si>
    <t>Nominal blanking time for VPC qualification:</t>
  </si>
  <si>
    <r>
      <t>t</t>
    </r>
    <r>
      <rPr>
        <b/>
        <vertAlign val="subscript"/>
        <sz val="11"/>
        <color theme="1"/>
        <rFont val="Calibri"/>
        <family val="2"/>
        <scheme val="minor"/>
      </rPr>
      <t>BLNKon</t>
    </r>
  </si>
  <si>
    <t>This product is designed as an aid for customers of Texas Instruments.  No warranties, either expressed or implied, with respect to this software or its fitness for any particular purpose, are claimed by Texas Instruments or the author.  The software is licensed solely on an "as is" basis.  The entire risk as to its quality and performance is with the customer.</t>
  </si>
  <si>
    <r>
      <t xml:space="preserve">ALL </t>
    </r>
    <r>
      <rPr>
        <b/>
        <sz val="14"/>
        <color rgb="FF00F200"/>
        <rFont val="Arial"/>
        <family val="2"/>
      </rPr>
      <t>GREEN</t>
    </r>
    <r>
      <rPr>
        <b/>
        <sz val="14"/>
        <color rgb="FF000000"/>
        <rFont val="Arial"/>
        <family val="2"/>
      </rPr>
      <t xml:space="preserve"> CELLS ARE USER INPUTS</t>
    </r>
  </si>
  <si>
    <t>CALCULATIONS and USER SELECTIONS</t>
  </si>
  <si>
    <t>Total SR-control contribution to stand-by power loss:</t>
  </si>
  <si>
    <t>Total SR-control contribution to full power loss:</t>
  </si>
  <si>
    <t>Power Dissipation at Stand-by Condition</t>
  </si>
  <si>
    <t>TBLK Resistor (at pin 3)</t>
  </si>
  <si>
    <t>VSC Divider (at pin 2)</t>
  </si>
  <si>
    <t>VPC Divider (at pin 1)</t>
  </si>
  <si>
    <t>UCC24636 DESIGN CALCULATOR TOOL</t>
  </si>
  <si>
    <t>Design Calculator for UCC24636 Synchronous Rectifier Controller</t>
  </si>
  <si>
    <t>SLUC604A</t>
  </si>
  <si>
    <r>
      <t>I</t>
    </r>
    <r>
      <rPr>
        <vertAlign val="subscript"/>
        <sz val="10"/>
        <color theme="0"/>
        <rFont val="Calibri"/>
        <family val="2"/>
        <scheme val="minor"/>
      </rPr>
      <t>VPCbias</t>
    </r>
  </si>
  <si>
    <r>
      <t>I</t>
    </r>
    <r>
      <rPr>
        <vertAlign val="subscript"/>
        <sz val="10"/>
        <color theme="0"/>
        <rFont val="Calibri"/>
        <family val="2"/>
        <scheme val="minor"/>
      </rPr>
      <t>VSCbias</t>
    </r>
  </si>
  <si>
    <r>
      <t>T</t>
    </r>
    <r>
      <rPr>
        <vertAlign val="subscript"/>
        <sz val="11"/>
        <color theme="0"/>
        <rFont val="Calibri"/>
        <family val="2"/>
        <scheme val="minor"/>
      </rPr>
      <t>RES</t>
    </r>
  </si>
  <si>
    <r>
      <t>T</t>
    </r>
    <r>
      <rPr>
        <vertAlign val="subscript"/>
        <sz val="11"/>
        <color theme="0"/>
        <rFont val="Calibri"/>
        <family val="2"/>
        <scheme val="minor"/>
      </rPr>
      <t>BLANK</t>
    </r>
  </si>
  <si>
    <r>
      <t>Blanking time, based on t</t>
    </r>
    <r>
      <rPr>
        <vertAlign val="subscript"/>
        <sz val="11"/>
        <color theme="1"/>
        <rFont val="Calibri"/>
        <family val="2"/>
        <scheme val="minor"/>
      </rPr>
      <t>ON(min)</t>
    </r>
    <r>
      <rPr>
        <sz val="11"/>
        <color theme="1"/>
        <rFont val="Calibri"/>
        <family val="2"/>
        <scheme val="minor"/>
      </rPr>
      <t xml:space="preserve"> at high-line.  Read page 15 of datasheet for more info on rejection of DCM ringing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</si>
</sst>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quot;&lt;&quot;\ General"/>
    <numFmt numFmtId="166" formatCode="0.0"/>
  </numFmts>
  <fonts count="47" x14ac:knownFonts="1">
    <font>
      <sz val="11"/>
      <color theme="1"/>
      <name val="Calibri"/>
      <family val="2"/>
      <scheme val="minor"/>
    </font>
    <font>
      <b/>
      <sz val="12"/>
      <name val="Arial"/>
      <family val="2"/>
    </font>
    <font>
      <b/>
      <sz val="14"/>
      <color indexed="10"/>
      <name val="Arial"/>
      <family val="2"/>
    </font>
    <font>
      <sz val="10"/>
      <name val="Arial"/>
      <family val="2"/>
    </font>
    <font>
      <b/>
      <sz val="10"/>
      <name val="Arial"/>
      <family val="2"/>
    </font>
    <font>
      <b/>
      <sz val="11"/>
      <color theme="1"/>
      <name val="Calibri"/>
      <family val="2"/>
      <scheme val="minor"/>
    </font>
    <font>
      <sz val="11"/>
      <color theme="0"/>
      <name val="Calibri"/>
      <family val="2"/>
      <scheme val="minor"/>
    </font>
    <font>
      <b/>
      <i/>
      <sz val="12"/>
      <color indexed="9"/>
      <name val="Arial"/>
      <family val="2"/>
    </font>
    <font>
      <sz val="10"/>
      <color rgb="FFFF0000"/>
      <name val="Arial"/>
      <family val="2"/>
    </font>
    <font>
      <sz val="10"/>
      <color theme="0"/>
      <name val="Arial"/>
      <family val="2"/>
    </font>
    <font>
      <b/>
      <sz val="12"/>
      <color indexed="9"/>
      <name val="Arial"/>
      <family val="2"/>
    </font>
    <font>
      <sz val="10"/>
      <color theme="1"/>
      <name val="Arial"/>
      <family val="2"/>
    </font>
    <font>
      <sz val="11"/>
      <name val="Calibri"/>
      <family val="2"/>
      <scheme val="minor"/>
    </font>
    <font>
      <b/>
      <sz val="10"/>
      <color theme="1"/>
      <name val="Arial"/>
      <family val="2"/>
    </font>
    <font>
      <sz val="9"/>
      <color theme="1"/>
      <name val="Arial"/>
      <family val="2"/>
    </font>
    <font>
      <b/>
      <vertAlign val="subscript"/>
      <sz val="10"/>
      <name val="Arial"/>
      <family val="2"/>
    </font>
    <font>
      <b/>
      <sz val="11"/>
      <name val="Calibri"/>
      <family val="2"/>
      <scheme val="minor"/>
    </font>
    <font>
      <b/>
      <vertAlign val="subscript"/>
      <sz val="11"/>
      <name val="Calibri"/>
      <family val="2"/>
      <scheme val="minor"/>
    </font>
    <font>
      <b/>
      <sz val="12"/>
      <color theme="0"/>
      <name val="Arial"/>
      <family val="2"/>
    </font>
    <font>
      <sz val="12"/>
      <color theme="0"/>
      <name val="Arial"/>
      <family val="2"/>
    </font>
    <font>
      <b/>
      <sz val="10"/>
      <color indexed="9"/>
      <name val="Arial"/>
      <family val="2"/>
    </font>
    <font>
      <vertAlign val="subscript"/>
      <sz val="11"/>
      <color theme="1"/>
      <name val="Calibri"/>
      <family val="2"/>
      <scheme val="minor"/>
    </font>
    <font>
      <b/>
      <sz val="11"/>
      <color theme="1"/>
      <name val="Calibri"/>
      <family val="2"/>
    </font>
    <font>
      <b/>
      <sz val="14"/>
      <color rgb="FFFF0000"/>
      <name val="Calibri"/>
      <family val="2"/>
      <scheme val="minor"/>
    </font>
    <font>
      <sz val="14"/>
      <color theme="1"/>
      <name val="Calibri"/>
      <family val="2"/>
      <scheme val="minor"/>
    </font>
    <font>
      <b/>
      <sz val="10"/>
      <color theme="1"/>
      <name val="Calibri"/>
      <family val="2"/>
    </font>
    <font>
      <b/>
      <vertAlign val="subscript"/>
      <sz val="11"/>
      <color theme="1"/>
      <name val="Calibri"/>
      <family val="2"/>
      <scheme val="minor"/>
    </font>
    <font>
      <sz val="11"/>
      <color theme="1"/>
      <name val="Calibri"/>
      <family val="2"/>
    </font>
    <font>
      <b/>
      <sz val="9"/>
      <color theme="1"/>
      <name val="Calibri"/>
      <family val="2"/>
      <scheme val="minor"/>
    </font>
    <font>
      <b/>
      <vertAlign val="subscript"/>
      <sz val="9"/>
      <color theme="1"/>
      <name val="Calibri"/>
      <family val="2"/>
      <scheme val="minor"/>
    </font>
    <font>
      <b/>
      <vertAlign val="subscript"/>
      <sz val="12"/>
      <color theme="0"/>
      <name val="Arial"/>
      <family val="2"/>
    </font>
    <font>
      <sz val="11"/>
      <color rgb="FF000000"/>
      <name val="Arial"/>
      <family val="2"/>
    </font>
    <font>
      <b/>
      <sz val="24"/>
      <color rgb="FFFFFFFF"/>
      <name val="Arial"/>
      <family val="2"/>
    </font>
    <font>
      <b/>
      <sz val="9"/>
      <name val="Arial"/>
      <family val="2"/>
    </font>
    <font>
      <b/>
      <sz val="16"/>
      <color rgb="FF000000"/>
      <name val="Arial"/>
      <family val="2"/>
    </font>
    <font>
      <b/>
      <sz val="14"/>
      <color rgb="FFFF0000"/>
      <name val="Arial"/>
      <family val="2"/>
    </font>
    <font>
      <b/>
      <sz val="14"/>
      <color rgb="FF000000"/>
      <name val="Arial"/>
      <family val="2"/>
    </font>
    <font>
      <sz val="11"/>
      <name val="Arial"/>
      <family val="2"/>
    </font>
    <font>
      <b/>
      <i/>
      <sz val="16"/>
      <color rgb="FFFFFFFF"/>
      <name val="Arial"/>
      <family val="2"/>
    </font>
    <font>
      <b/>
      <sz val="12"/>
      <color theme="1"/>
      <name val="Calibri"/>
      <family val="2"/>
      <scheme val="minor"/>
    </font>
    <font>
      <b/>
      <sz val="12"/>
      <color theme="1"/>
      <name val="Calibri"/>
      <family val="2"/>
    </font>
    <font>
      <b/>
      <sz val="12"/>
      <color theme="1"/>
      <name val="Wingdings 3"/>
      <family val="1"/>
      <charset val="2"/>
    </font>
    <font>
      <b/>
      <sz val="14"/>
      <color rgb="FF00F200"/>
      <name val="Arial"/>
      <family val="2"/>
    </font>
    <font>
      <sz val="12"/>
      <color rgb="FF000000"/>
      <name val="Arial"/>
      <family val="2"/>
    </font>
    <font>
      <sz val="10"/>
      <color theme="0"/>
      <name val="Calibri"/>
      <family val="2"/>
      <scheme val="minor"/>
    </font>
    <font>
      <vertAlign val="subscript"/>
      <sz val="10"/>
      <color theme="0"/>
      <name val="Calibri"/>
      <family val="2"/>
      <scheme val="minor"/>
    </font>
    <font>
      <vertAlign val="subscript"/>
      <sz val="11"/>
      <color theme="0"/>
      <name val="Calibri"/>
      <family val="2"/>
      <scheme val="minor"/>
    </font>
  </fonts>
  <fills count="12">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10"/>
        <bgColor indexed="64"/>
      </patternFill>
    </fill>
    <fill>
      <patternFill patternType="solid">
        <fgColor rgb="FF99FFCC"/>
        <bgColor indexed="64"/>
      </patternFill>
    </fill>
    <fill>
      <patternFill patternType="solid">
        <fgColor rgb="FFFF0000"/>
        <bgColor indexed="64"/>
      </patternFill>
    </fill>
    <fill>
      <patternFill patternType="solid">
        <fgColor rgb="FF00B0F0"/>
        <bgColor indexed="64"/>
      </patternFill>
    </fill>
    <fill>
      <patternFill patternType="solid">
        <fgColor rgb="FFFFFFFF"/>
        <bgColor rgb="FF000000"/>
      </patternFill>
    </fill>
    <fill>
      <patternFill patternType="solid">
        <fgColor rgb="FFFF0000"/>
        <bgColor rgb="FF000000"/>
      </patternFill>
    </fill>
    <fill>
      <patternFill patternType="solid">
        <fgColor rgb="FFFFFF00"/>
        <bgColor rgb="FF000000"/>
      </patternFill>
    </fill>
    <fill>
      <patternFill patternType="solid">
        <fgColor theme="0"/>
        <bgColor rgb="FF000000"/>
      </patternFill>
    </fill>
  </fills>
  <borders count="32">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right style="medium">
        <color indexed="64"/>
      </right>
      <top/>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medium">
        <color indexed="64"/>
      </right>
      <top/>
      <bottom/>
      <diagonal/>
    </border>
  </borders>
  <cellStyleXfs count="1">
    <xf numFmtId="0" fontId="0" fillId="0" borderId="0"/>
  </cellStyleXfs>
  <cellXfs count="168">
    <xf numFmtId="0" fontId="0" fillId="0" borderId="0" xfId="0"/>
    <xf numFmtId="0" fontId="0" fillId="2" borderId="0" xfId="0" applyFill="1" applyBorder="1"/>
    <xf numFmtId="0" fontId="0" fillId="3" borderId="0" xfId="0" applyFill="1" applyAlignment="1">
      <alignment vertical="center"/>
    </xf>
    <xf numFmtId="0" fontId="0" fillId="3" borderId="0" xfId="0" applyFill="1" applyBorder="1" applyAlignment="1">
      <alignment vertical="center"/>
    </xf>
    <xf numFmtId="0" fontId="0" fillId="3" borderId="7" xfId="0" applyFill="1" applyBorder="1" applyAlignment="1">
      <alignment vertical="center"/>
    </xf>
    <xf numFmtId="0" fontId="0" fillId="3" borderId="9" xfId="0" applyFill="1" applyBorder="1" applyAlignment="1">
      <alignment vertical="center"/>
    </xf>
    <xf numFmtId="0" fontId="6" fillId="2" borderId="0" xfId="0" applyFont="1" applyFill="1" applyAlignment="1">
      <alignment vertical="center"/>
    </xf>
    <xf numFmtId="2" fontId="0" fillId="3" borderId="0" xfId="0" applyNumberFormat="1" applyFill="1" applyAlignment="1">
      <alignment vertical="center"/>
    </xf>
    <xf numFmtId="2" fontId="0" fillId="3" borderId="1" xfId="0" applyNumberFormat="1" applyFill="1" applyBorder="1" applyAlignment="1">
      <alignment vertical="center"/>
    </xf>
    <xf numFmtId="2" fontId="0" fillId="3" borderId="10" xfId="0" applyNumberFormat="1" applyFill="1" applyBorder="1" applyAlignment="1">
      <alignment vertical="center"/>
    </xf>
    <xf numFmtId="0" fontId="5" fillId="3" borderId="8" xfId="0" applyFont="1" applyFill="1" applyBorder="1" applyAlignment="1">
      <alignment vertical="center"/>
    </xf>
    <xf numFmtId="2" fontId="0" fillId="3" borderId="0" xfId="0" applyNumberFormat="1" applyFill="1" applyBorder="1" applyAlignment="1">
      <alignment vertical="center"/>
    </xf>
    <xf numFmtId="0" fontId="5" fillId="3" borderId="11" xfId="0" applyFont="1" applyFill="1" applyBorder="1" applyAlignment="1">
      <alignment vertical="center"/>
    </xf>
    <xf numFmtId="0" fontId="5" fillId="3" borderId="0" xfId="0" applyFont="1" applyFill="1" applyBorder="1" applyAlignment="1">
      <alignment vertical="center"/>
    </xf>
    <xf numFmtId="0" fontId="5" fillId="7" borderId="8" xfId="0" applyFont="1" applyFill="1" applyBorder="1" applyAlignment="1">
      <alignment vertical="center"/>
    </xf>
    <xf numFmtId="0" fontId="5" fillId="7" borderId="11" xfId="0" applyFont="1" applyFill="1" applyBorder="1" applyAlignment="1">
      <alignment vertical="center"/>
    </xf>
    <xf numFmtId="0" fontId="11" fillId="5" borderId="1" xfId="0" applyFont="1" applyFill="1" applyBorder="1" applyAlignment="1" applyProtection="1">
      <alignment horizontal="center" vertical="center"/>
      <protection locked="0"/>
    </xf>
    <xf numFmtId="0" fontId="3" fillId="5" borderId="1" xfId="0" applyFont="1" applyFill="1" applyBorder="1" applyAlignment="1" applyProtection="1">
      <alignment horizontal="center" vertical="center"/>
      <protection locked="0"/>
    </xf>
    <xf numFmtId="0" fontId="0" fillId="5" borderId="1" xfId="0" applyFill="1" applyBorder="1" applyAlignment="1" applyProtection="1">
      <alignment horizontal="center" vertical="center"/>
      <protection locked="0"/>
    </xf>
    <xf numFmtId="0" fontId="0" fillId="3" borderId="0" xfId="0" applyFill="1" applyAlignment="1" applyProtection="1">
      <alignment vertical="center"/>
    </xf>
    <xf numFmtId="0" fontId="5" fillId="3" borderId="0" xfId="0" applyFont="1" applyFill="1" applyAlignment="1" applyProtection="1">
      <alignment vertical="center"/>
    </xf>
    <xf numFmtId="0" fontId="1" fillId="3" borderId="0" xfId="0" applyFont="1" applyFill="1" applyAlignment="1" applyProtection="1">
      <alignment horizontal="center" vertical="center"/>
    </xf>
    <xf numFmtId="0" fontId="18" fillId="3" borderId="0" xfId="0" applyFont="1" applyFill="1" applyBorder="1" applyAlignment="1" applyProtection="1">
      <alignment horizontal="center" vertical="center"/>
    </xf>
    <xf numFmtId="0" fontId="14" fillId="3" borderId="0" xfId="0" applyFont="1" applyFill="1" applyAlignment="1" applyProtection="1">
      <alignment horizontal="left" vertical="center"/>
    </xf>
    <xf numFmtId="0" fontId="8" fillId="3" borderId="0" xfId="0" applyFont="1" applyFill="1" applyAlignment="1" applyProtection="1">
      <alignment vertical="center"/>
    </xf>
    <xf numFmtId="0" fontId="9" fillId="3" borderId="0" xfId="0" applyFont="1" applyFill="1" applyAlignment="1" applyProtection="1">
      <alignment vertical="center"/>
    </xf>
    <xf numFmtId="0" fontId="4" fillId="2" borderId="1" xfId="0" applyFont="1" applyFill="1" applyBorder="1" applyAlignment="1" applyProtection="1">
      <alignment horizontal="center" vertical="center"/>
    </xf>
    <xf numFmtId="0" fontId="12" fillId="3" borderId="1" xfId="0" applyFont="1" applyFill="1" applyBorder="1" applyAlignment="1" applyProtection="1">
      <alignment vertical="center"/>
    </xf>
    <xf numFmtId="11" fontId="0" fillId="3" borderId="0" xfId="0" applyNumberFormat="1" applyFill="1" applyAlignment="1" applyProtection="1">
      <alignment vertical="center"/>
    </xf>
    <xf numFmtId="0" fontId="9" fillId="3" borderId="0" xfId="0" applyNumberFormat="1" applyFont="1" applyFill="1" applyAlignment="1" applyProtection="1">
      <alignment vertical="center"/>
    </xf>
    <xf numFmtId="0" fontId="0" fillId="3" borderId="0" xfId="0" applyFill="1" applyBorder="1" applyAlignment="1" applyProtection="1">
      <alignment vertical="center"/>
    </xf>
    <xf numFmtId="0" fontId="13" fillId="3" borderId="0" xfId="0" applyFont="1" applyFill="1" applyAlignment="1" applyProtection="1">
      <alignment vertical="center"/>
    </xf>
    <xf numFmtId="0" fontId="4" fillId="3" borderId="1" xfId="0" applyFont="1" applyFill="1" applyBorder="1" applyAlignment="1" applyProtection="1">
      <alignment horizontal="center" vertical="center"/>
    </xf>
    <xf numFmtId="164" fontId="16" fillId="3" borderId="1" xfId="0" applyNumberFormat="1" applyFont="1" applyFill="1" applyBorder="1" applyAlignment="1" applyProtection="1">
      <alignment horizontal="center" vertical="center"/>
    </xf>
    <xf numFmtId="0" fontId="16" fillId="3" borderId="1" xfId="0" applyFont="1" applyFill="1" applyBorder="1" applyAlignment="1" applyProtection="1">
      <alignment horizontal="center" vertical="center"/>
    </xf>
    <xf numFmtId="0" fontId="12" fillId="3" borderId="0" xfId="0" applyFont="1" applyFill="1" applyAlignment="1">
      <alignment vertical="center"/>
    </xf>
    <xf numFmtId="0" fontId="5" fillId="3" borderId="9" xfId="0" applyFont="1" applyFill="1" applyBorder="1" applyAlignment="1">
      <alignment vertical="center"/>
    </xf>
    <xf numFmtId="0" fontId="0" fillId="2" borderId="1" xfId="0" applyFill="1" applyBorder="1" applyAlignment="1" applyProtection="1">
      <alignment horizontal="center" vertical="center"/>
    </xf>
    <xf numFmtId="0" fontId="23" fillId="3" borderId="0" xfId="0" applyFont="1" applyFill="1" applyAlignment="1">
      <alignment vertical="center"/>
    </xf>
    <xf numFmtId="0" fontId="2" fillId="3" borderId="0" xfId="0" applyFont="1" applyFill="1" applyAlignment="1" applyProtection="1">
      <alignment horizontal="center" vertical="center"/>
    </xf>
    <xf numFmtId="0" fontId="0" fillId="0" borderId="0" xfId="0" applyAlignment="1" applyProtection="1">
      <alignment horizontal="center" vertical="center"/>
    </xf>
    <xf numFmtId="0" fontId="24" fillId="2" borderId="0" xfId="0" applyFont="1" applyFill="1" applyBorder="1"/>
    <xf numFmtId="0" fontId="5" fillId="5" borderId="8" xfId="0" applyFont="1" applyFill="1" applyBorder="1" applyAlignment="1">
      <alignment vertical="center"/>
    </xf>
    <xf numFmtId="0" fontId="0" fillId="5" borderId="1" xfId="0" applyFill="1" applyBorder="1" applyAlignment="1" applyProtection="1">
      <alignment horizontal="center" vertical="center"/>
    </xf>
    <xf numFmtId="0" fontId="5" fillId="0" borderId="11" xfId="0" applyFont="1" applyFill="1" applyBorder="1" applyAlignment="1">
      <alignment vertical="center"/>
    </xf>
    <xf numFmtId="0" fontId="0" fillId="2" borderId="0" xfId="0" applyFill="1" applyAlignment="1" applyProtection="1">
      <alignment vertical="center"/>
    </xf>
    <xf numFmtId="0" fontId="11" fillId="2" borderId="0" xfId="0" applyFont="1" applyFill="1" applyAlignment="1" applyProtection="1">
      <alignment vertical="center"/>
    </xf>
    <xf numFmtId="0" fontId="0" fillId="2" borderId="0" xfId="0" applyFont="1" applyFill="1" applyAlignment="1" applyProtection="1">
      <alignment vertical="center"/>
    </xf>
    <xf numFmtId="0" fontId="8" fillId="2" borderId="0" xfId="0" applyFont="1" applyFill="1" applyAlignment="1" applyProtection="1">
      <alignment vertical="center"/>
    </xf>
    <xf numFmtId="0" fontId="0" fillId="2" borderId="0" xfId="0" applyFill="1" applyAlignment="1">
      <alignment vertical="center"/>
    </xf>
    <xf numFmtId="0" fontId="0" fillId="3" borderId="15" xfId="0" applyFill="1" applyBorder="1" applyAlignment="1">
      <alignment vertical="center"/>
    </xf>
    <xf numFmtId="0" fontId="0" fillId="7" borderId="15" xfId="0" applyFill="1" applyBorder="1" applyAlignment="1">
      <alignment vertical="center"/>
    </xf>
    <xf numFmtId="0" fontId="0" fillId="0" borderId="16" xfId="0" applyFill="1" applyBorder="1" applyAlignment="1">
      <alignment vertical="center"/>
    </xf>
    <xf numFmtId="2" fontId="0" fillId="3" borderId="6" xfId="0" applyNumberFormat="1" applyFill="1" applyBorder="1" applyAlignment="1">
      <alignment vertical="center"/>
    </xf>
    <xf numFmtId="2" fontId="0" fillId="7" borderId="6" xfId="0" applyNumberFormat="1" applyFill="1" applyBorder="1" applyAlignment="1">
      <alignment vertical="center"/>
    </xf>
    <xf numFmtId="2" fontId="0" fillId="0" borderId="14" xfId="0" applyNumberFormat="1" applyFill="1" applyBorder="1" applyAlignment="1">
      <alignment vertical="center"/>
    </xf>
    <xf numFmtId="0" fontId="0" fillId="7" borderId="16" xfId="0" applyFill="1" applyBorder="1" applyAlignment="1">
      <alignment vertical="center"/>
    </xf>
    <xf numFmtId="166" fontId="0" fillId="3" borderId="6" xfId="0" applyNumberFormat="1" applyFill="1" applyBorder="1" applyAlignment="1">
      <alignment vertical="center"/>
    </xf>
    <xf numFmtId="2" fontId="0" fillId="3" borderId="17" xfId="0" applyNumberFormat="1" applyFill="1" applyBorder="1" applyAlignment="1">
      <alignment vertical="center"/>
    </xf>
    <xf numFmtId="0" fontId="0" fillId="3" borderId="7" xfId="0" applyFill="1" applyBorder="1" applyAlignment="1" applyProtection="1">
      <alignment vertical="center"/>
    </xf>
    <xf numFmtId="0" fontId="5" fillId="3" borderId="8" xfId="0" applyFont="1" applyFill="1" applyBorder="1" applyAlignment="1" applyProtection="1">
      <alignment vertical="center"/>
    </xf>
    <xf numFmtId="0" fontId="13" fillId="3" borderId="8" xfId="0" applyFont="1" applyFill="1" applyBorder="1" applyAlignment="1" applyProtection="1">
      <alignment horizontal="left" vertical="center"/>
    </xf>
    <xf numFmtId="0" fontId="13" fillId="3" borderId="8" xfId="0" applyFont="1" applyFill="1" applyBorder="1" applyAlignment="1" applyProtection="1">
      <alignment vertical="center" wrapText="1"/>
    </xf>
    <xf numFmtId="0" fontId="0" fillId="3" borderId="9" xfId="0" applyFill="1" applyBorder="1" applyAlignment="1" applyProtection="1">
      <alignment vertical="center"/>
    </xf>
    <xf numFmtId="0" fontId="4" fillId="2" borderId="10" xfId="0" applyFont="1" applyFill="1" applyBorder="1" applyAlignment="1" applyProtection="1">
      <alignment horizontal="center" vertical="center"/>
    </xf>
    <xf numFmtId="0" fontId="0" fillId="5" borderId="10" xfId="0" applyFill="1" applyBorder="1" applyAlignment="1" applyProtection="1">
      <alignment horizontal="center" vertical="center"/>
      <protection locked="0"/>
    </xf>
    <xf numFmtId="0" fontId="13" fillId="3" borderId="11" xfId="0" applyFont="1" applyFill="1" applyBorder="1" applyAlignment="1" applyProtection="1">
      <alignment vertical="center" wrapText="1"/>
    </xf>
    <xf numFmtId="0" fontId="0" fillId="3" borderId="7" xfId="0" applyFont="1" applyFill="1" applyBorder="1" applyAlignment="1" applyProtection="1">
      <alignment vertical="center"/>
    </xf>
    <xf numFmtId="0" fontId="13" fillId="3" borderId="8" xfId="0" applyFont="1" applyFill="1" applyBorder="1" applyAlignment="1" applyProtection="1">
      <alignment vertical="center"/>
    </xf>
    <xf numFmtId="165" fontId="16" fillId="3" borderId="10" xfId="0" applyNumberFormat="1" applyFont="1" applyFill="1" applyBorder="1" applyAlignment="1" applyProtection="1">
      <alignment horizontal="center" vertical="center"/>
    </xf>
    <xf numFmtId="0" fontId="13" fillId="3" borderId="11" xfId="0" applyFont="1" applyFill="1" applyBorder="1" applyAlignment="1" applyProtection="1">
      <alignment vertical="center"/>
    </xf>
    <xf numFmtId="0" fontId="5" fillId="3" borderId="1" xfId="0" applyFont="1" applyFill="1" applyBorder="1" applyAlignment="1" applyProtection="1">
      <alignment horizontal="center" vertical="center"/>
    </xf>
    <xf numFmtId="0" fontId="5" fillId="3" borderId="1" xfId="0" applyFont="1" applyFill="1" applyBorder="1" applyAlignment="1">
      <alignment horizontal="center" vertical="center"/>
    </xf>
    <xf numFmtId="164" fontId="0" fillId="7" borderId="6" xfId="0" applyNumberFormat="1" applyFill="1" applyBorder="1" applyAlignment="1">
      <alignment vertical="center"/>
    </xf>
    <xf numFmtId="164" fontId="0" fillId="3" borderId="6" xfId="0" applyNumberFormat="1" applyFill="1" applyBorder="1" applyAlignment="1">
      <alignment vertical="center"/>
    </xf>
    <xf numFmtId="164" fontId="0" fillId="7" borderId="14" xfId="0" applyNumberFormat="1" applyFill="1" applyBorder="1" applyAlignment="1">
      <alignment vertical="center"/>
    </xf>
    <xf numFmtId="2" fontId="0" fillId="2" borderId="0" xfId="0" applyNumberFormat="1" applyFill="1" applyAlignment="1">
      <alignment vertical="center"/>
    </xf>
    <xf numFmtId="0" fontId="28" fillId="3" borderId="1" xfId="0" applyFont="1" applyFill="1" applyBorder="1" applyAlignment="1" applyProtection="1">
      <alignment horizontal="center" vertical="center"/>
    </xf>
    <xf numFmtId="0" fontId="5" fillId="2" borderId="8" xfId="0" applyFont="1" applyFill="1" applyBorder="1" applyAlignment="1">
      <alignment vertical="center"/>
    </xf>
    <xf numFmtId="0" fontId="20" fillId="2" borderId="0" xfId="0" applyFont="1" applyFill="1" applyBorder="1" applyAlignment="1">
      <alignment horizontal="left" vertical="center"/>
    </xf>
    <xf numFmtId="0" fontId="31" fillId="8" borderId="0" xfId="0" applyFont="1" applyFill="1" applyBorder="1" applyAlignment="1">
      <alignment vertical="center"/>
    </xf>
    <xf numFmtId="0" fontId="4" fillId="8" borderId="0" xfId="0" applyFont="1" applyFill="1" applyBorder="1" applyAlignment="1">
      <alignment horizontal="right" vertical="center" wrapText="1"/>
    </xf>
    <xf numFmtId="0" fontId="33" fillId="8" borderId="0" xfId="0" applyFont="1" applyFill="1" applyBorder="1" applyAlignment="1">
      <alignment horizontal="left" vertical="center" wrapText="1"/>
    </xf>
    <xf numFmtId="0" fontId="32" fillId="8" borderId="0" xfId="0" applyFont="1" applyFill="1" applyBorder="1" applyAlignment="1">
      <alignment horizontal="center" vertical="center" wrapText="1"/>
    </xf>
    <xf numFmtId="0" fontId="5" fillId="3" borderId="1" xfId="0" applyFont="1" applyFill="1" applyBorder="1" applyAlignment="1">
      <alignment vertical="center"/>
    </xf>
    <xf numFmtId="0" fontId="5" fillId="3" borderId="10" xfId="0" applyFont="1" applyFill="1" applyBorder="1" applyAlignment="1">
      <alignment vertical="center"/>
    </xf>
    <xf numFmtId="0" fontId="5" fillId="3" borderId="10" xfId="0" applyFont="1" applyFill="1" applyBorder="1" applyAlignment="1">
      <alignment horizontal="center" vertical="center"/>
    </xf>
    <xf numFmtId="0" fontId="0" fillId="3" borderId="0" xfId="0" quotePrefix="1" applyFill="1" applyAlignment="1">
      <alignment vertical="center"/>
    </xf>
    <xf numFmtId="0" fontId="0" fillId="3" borderId="28" xfId="0" applyFill="1" applyBorder="1" applyAlignment="1">
      <alignment vertical="center"/>
    </xf>
    <xf numFmtId="0" fontId="5" fillId="3" borderId="29" xfId="0" applyFont="1" applyFill="1" applyBorder="1" applyAlignment="1">
      <alignment horizontal="center" vertical="center"/>
    </xf>
    <xf numFmtId="0" fontId="5" fillId="5" borderId="31" xfId="0" applyFont="1" applyFill="1" applyBorder="1" applyAlignment="1">
      <alignment vertical="center"/>
    </xf>
    <xf numFmtId="0" fontId="0" fillId="3" borderId="10" xfId="0" applyFill="1" applyBorder="1" applyAlignment="1">
      <alignment vertical="center"/>
    </xf>
    <xf numFmtId="0" fontId="13" fillId="2" borderId="11" xfId="0" applyFont="1" applyFill="1" applyBorder="1" applyAlignment="1">
      <alignment vertical="center"/>
    </xf>
    <xf numFmtId="0" fontId="9" fillId="2" borderId="0" xfId="0" applyFont="1" applyFill="1" applyAlignment="1" applyProtection="1">
      <alignment vertical="center"/>
    </xf>
    <xf numFmtId="0" fontId="23" fillId="2" borderId="0" xfId="0" applyFont="1" applyFill="1" applyAlignment="1">
      <alignment vertical="center"/>
    </xf>
    <xf numFmtId="0" fontId="38" fillId="11" borderId="22" xfId="0" applyFont="1" applyFill="1" applyBorder="1" applyAlignment="1">
      <alignment vertical="center"/>
    </xf>
    <xf numFmtId="0" fontId="37" fillId="8" borderId="0" xfId="0" applyFont="1" applyFill="1" applyBorder="1" applyAlignment="1">
      <alignment horizontal="center" vertical="center" wrapText="1"/>
    </xf>
    <xf numFmtId="0" fontId="5" fillId="2" borderId="0" xfId="0" applyFont="1" applyFill="1" applyAlignment="1" applyProtection="1">
      <alignment vertical="center"/>
    </xf>
    <xf numFmtId="0" fontId="5" fillId="2" borderId="0" xfId="0" applyFont="1" applyFill="1" applyAlignment="1" applyProtection="1">
      <alignment horizontal="right" vertical="center"/>
    </xf>
    <xf numFmtId="0" fontId="6" fillId="3" borderId="0" xfId="0" applyFont="1" applyFill="1" applyAlignment="1" applyProtection="1">
      <alignment vertical="center"/>
    </xf>
    <xf numFmtId="0" fontId="44" fillId="3" borderId="0" xfId="0" applyFont="1" applyFill="1" applyAlignment="1" applyProtection="1">
      <alignment horizontal="right" vertical="center"/>
    </xf>
    <xf numFmtId="0" fontId="44" fillId="3" borderId="0" xfId="0" applyFont="1" applyFill="1" applyAlignment="1" applyProtection="1">
      <alignment horizontal="center" vertical="center"/>
    </xf>
    <xf numFmtId="0" fontId="6" fillId="3" borderId="0" xfId="0" applyFont="1" applyFill="1" applyAlignment="1" applyProtection="1">
      <alignment horizontal="right" vertical="center"/>
    </xf>
    <xf numFmtId="0" fontId="6" fillId="3" borderId="0" xfId="0" applyFont="1" applyFill="1" applyAlignment="1" applyProtection="1">
      <alignment horizontal="center" vertical="center"/>
    </xf>
    <xf numFmtId="0" fontId="6" fillId="2" borderId="0" xfId="0" applyFont="1" applyFill="1" applyAlignment="1" applyProtection="1">
      <alignment vertical="center"/>
    </xf>
    <xf numFmtId="11" fontId="6" fillId="3" borderId="0" xfId="0" applyNumberFormat="1" applyFont="1" applyFill="1" applyAlignment="1" applyProtection="1">
      <alignment horizontal="center" vertical="center"/>
    </xf>
    <xf numFmtId="11" fontId="44" fillId="3" borderId="0" xfId="0" applyNumberFormat="1" applyFont="1" applyFill="1" applyAlignment="1" applyProtection="1">
      <alignment horizontal="center" vertical="center"/>
    </xf>
    <xf numFmtId="0" fontId="0" fillId="3" borderId="0" xfId="0" applyFill="1" applyAlignment="1" applyProtection="1">
      <alignment vertical="center" wrapText="1"/>
    </xf>
    <xf numFmtId="0" fontId="0" fillId="3" borderId="15" xfId="0" applyFill="1" applyBorder="1" applyAlignment="1">
      <alignment vertical="center" wrapText="1"/>
    </xf>
    <xf numFmtId="0" fontId="5" fillId="3" borderId="1" xfId="0" applyFont="1" applyFill="1" applyBorder="1" applyAlignment="1">
      <alignment horizontal="center" vertical="center" wrapText="1"/>
    </xf>
    <xf numFmtId="0" fontId="0" fillId="3" borderId="6" xfId="0" applyFill="1" applyBorder="1" applyAlignment="1">
      <alignment vertical="center" wrapText="1"/>
    </xf>
    <xf numFmtId="0" fontId="13" fillId="3" borderId="8" xfId="0" applyFont="1" applyFill="1" applyBorder="1" applyAlignment="1">
      <alignment vertical="center" wrapText="1"/>
    </xf>
    <xf numFmtId="0" fontId="0" fillId="3" borderId="0" xfId="0" applyFill="1" applyAlignment="1">
      <alignment vertical="center" wrapText="1"/>
    </xf>
    <xf numFmtId="0" fontId="23" fillId="0" borderId="0" xfId="0" applyFont="1" applyFill="1" applyAlignment="1">
      <alignment vertical="center"/>
    </xf>
    <xf numFmtId="0" fontId="0" fillId="2" borderId="0" xfId="0" applyFill="1" applyAlignment="1" applyProtection="1">
      <alignment vertical="center" wrapText="1"/>
    </xf>
    <xf numFmtId="166" fontId="0" fillId="5" borderId="6" xfId="0" applyNumberFormat="1" applyFill="1" applyBorder="1" applyAlignment="1" applyProtection="1">
      <alignment vertical="center"/>
      <protection locked="0"/>
    </xf>
    <xf numFmtId="166" fontId="0" fillId="5" borderId="1" xfId="0" applyNumberFormat="1" applyFill="1" applyBorder="1" applyAlignment="1" applyProtection="1">
      <alignment vertical="center"/>
      <protection locked="0"/>
    </xf>
    <xf numFmtId="166" fontId="0" fillId="5" borderId="30" xfId="0" applyNumberFormat="1" applyFill="1" applyBorder="1" applyAlignment="1" applyProtection="1">
      <alignment vertical="center"/>
      <protection locked="0"/>
    </xf>
    <xf numFmtId="11" fontId="6" fillId="2" borderId="0" xfId="0" applyNumberFormat="1" applyFont="1" applyFill="1" applyAlignment="1">
      <alignment vertical="center"/>
    </xf>
    <xf numFmtId="0" fontId="20" fillId="4" borderId="2" xfId="0" applyFont="1" applyFill="1" applyBorder="1" applyAlignment="1">
      <alignment horizontal="left" vertical="center"/>
    </xf>
    <xf numFmtId="0" fontId="20" fillId="4" borderId="3" xfId="0" applyFont="1" applyFill="1" applyBorder="1" applyAlignment="1">
      <alignment horizontal="left" vertical="center"/>
    </xf>
    <xf numFmtId="0" fontId="20" fillId="4" borderId="4" xfId="0" applyFont="1" applyFill="1" applyBorder="1" applyAlignment="1">
      <alignment horizontal="left" vertical="center"/>
    </xf>
    <xf numFmtId="0" fontId="39" fillId="3" borderId="24" xfId="0" applyFont="1" applyFill="1" applyBorder="1" applyAlignment="1">
      <alignment horizontal="right" vertical="center"/>
    </xf>
    <xf numFmtId="0" fontId="36" fillId="8" borderId="23" xfId="0" applyFont="1" applyFill="1" applyBorder="1" applyAlignment="1">
      <alignment horizontal="center" vertical="center"/>
    </xf>
    <xf numFmtId="0" fontId="36" fillId="8" borderId="24" xfId="0" applyFont="1" applyFill="1" applyBorder="1" applyAlignment="1">
      <alignment horizontal="center" vertical="center"/>
    </xf>
    <xf numFmtId="0" fontId="36" fillId="8" borderId="25" xfId="0" applyFont="1" applyFill="1" applyBorder="1" applyAlignment="1">
      <alignment horizontal="center" vertical="center"/>
    </xf>
    <xf numFmtId="0" fontId="37" fillId="8" borderId="26" xfId="0" applyFont="1" applyFill="1" applyBorder="1" applyAlignment="1">
      <alignment horizontal="center" vertical="center" wrapText="1"/>
    </xf>
    <xf numFmtId="0" fontId="37" fillId="8" borderId="17" xfId="0" applyFont="1" applyFill="1" applyBorder="1" applyAlignment="1">
      <alignment horizontal="center" vertical="center" wrapText="1"/>
    </xf>
    <xf numFmtId="0" fontId="37" fillId="8" borderId="27" xfId="0" applyFont="1" applyFill="1" applyBorder="1" applyAlignment="1">
      <alignment horizontal="center" vertical="center" wrapText="1"/>
    </xf>
    <xf numFmtId="0" fontId="38" fillId="9" borderId="19" xfId="0" applyFont="1" applyFill="1" applyBorder="1" applyAlignment="1">
      <alignment horizontal="center" vertical="center"/>
    </xf>
    <xf numFmtId="0" fontId="38" fillId="9" borderId="20" xfId="0" applyFont="1" applyFill="1" applyBorder="1" applyAlignment="1">
      <alignment horizontal="center" vertical="center"/>
    </xf>
    <xf numFmtId="0" fontId="38" fillId="9" borderId="21" xfId="0" applyFont="1" applyFill="1" applyBorder="1" applyAlignment="1">
      <alignment horizontal="center" vertical="center"/>
    </xf>
    <xf numFmtId="0" fontId="38" fillId="9" borderId="23" xfId="0" applyFont="1" applyFill="1" applyBorder="1" applyAlignment="1">
      <alignment horizontal="center" vertical="center"/>
    </xf>
    <xf numFmtId="0" fontId="38" fillId="9" borderId="24" xfId="0" applyFont="1" applyFill="1" applyBorder="1" applyAlignment="1">
      <alignment horizontal="center" vertical="center"/>
    </xf>
    <xf numFmtId="0" fontId="38" fillId="9" borderId="25" xfId="0" applyFont="1" applyFill="1" applyBorder="1" applyAlignment="1">
      <alignment horizontal="center" vertical="center"/>
    </xf>
    <xf numFmtId="0" fontId="1" fillId="3" borderId="0" xfId="0" applyFont="1" applyFill="1" applyAlignment="1" applyProtection="1">
      <alignment horizontal="right" vertical="center"/>
    </xf>
    <xf numFmtId="0" fontId="1" fillId="3" borderId="12" xfId="0" applyFont="1" applyFill="1" applyBorder="1" applyAlignment="1" applyProtection="1">
      <alignment horizontal="right" vertical="center"/>
    </xf>
    <xf numFmtId="0" fontId="4" fillId="10" borderId="24" xfId="0" applyFont="1" applyFill="1" applyBorder="1" applyAlignment="1">
      <alignment horizontal="left" vertical="center" wrapText="1"/>
    </xf>
    <xf numFmtId="0" fontId="32" fillId="9" borderId="26" xfId="0" applyFont="1" applyFill="1" applyBorder="1" applyAlignment="1">
      <alignment horizontal="center" vertical="center" wrapText="1"/>
    </xf>
    <xf numFmtId="0" fontId="32" fillId="9" borderId="17" xfId="0" applyFont="1" applyFill="1" applyBorder="1" applyAlignment="1">
      <alignment horizontal="center" vertical="center" wrapText="1"/>
    </xf>
    <xf numFmtId="0" fontId="32" fillId="9" borderId="27" xfId="0" applyFont="1" applyFill="1" applyBorder="1" applyAlignment="1">
      <alignment horizontal="center" vertical="center" wrapText="1"/>
    </xf>
    <xf numFmtId="0" fontId="1" fillId="8" borderId="19" xfId="0" applyFont="1" applyFill="1" applyBorder="1" applyAlignment="1">
      <alignment horizontal="left" vertical="center"/>
    </xf>
    <xf numFmtId="0" fontId="1" fillId="8" borderId="20" xfId="0" applyFont="1" applyFill="1" applyBorder="1" applyAlignment="1">
      <alignment horizontal="left" vertical="center"/>
    </xf>
    <xf numFmtId="0" fontId="1" fillId="8" borderId="21" xfId="0" applyFont="1" applyFill="1" applyBorder="1" applyAlignment="1">
      <alignment horizontal="left" vertical="center"/>
    </xf>
    <xf numFmtId="0" fontId="43" fillId="8" borderId="22" xfId="0" applyFont="1" applyFill="1" applyBorder="1" applyAlignment="1">
      <alignment horizontal="center" vertical="center" wrapText="1"/>
    </xf>
    <xf numFmtId="0" fontId="43" fillId="8" borderId="0" xfId="0" applyFont="1" applyFill="1" applyBorder="1" applyAlignment="1">
      <alignment horizontal="center" vertical="center" wrapText="1"/>
    </xf>
    <xf numFmtId="0" fontId="43" fillId="8" borderId="13" xfId="0" applyFont="1" applyFill="1" applyBorder="1" applyAlignment="1">
      <alignment horizontal="center" vertical="center" wrapText="1"/>
    </xf>
    <xf numFmtId="0" fontId="34" fillId="2" borderId="26" xfId="0" applyFont="1" applyFill="1" applyBorder="1" applyAlignment="1">
      <alignment horizontal="center" vertical="center" wrapText="1"/>
    </xf>
    <xf numFmtId="0" fontId="34" fillId="2" borderId="17" xfId="0" applyFont="1" applyFill="1" applyBorder="1" applyAlignment="1">
      <alignment horizontal="center" vertical="center" wrapText="1"/>
    </xf>
    <xf numFmtId="0" fontId="34" fillId="2" borderId="27" xfId="0" applyFont="1" applyFill="1" applyBorder="1" applyAlignment="1">
      <alignment horizontal="center" vertical="center" wrapText="1"/>
    </xf>
    <xf numFmtId="0" fontId="35" fillId="8" borderId="22" xfId="0" applyFont="1" applyFill="1" applyBorder="1" applyAlignment="1">
      <alignment horizontal="center" vertical="center"/>
    </xf>
    <xf numFmtId="0" fontId="35" fillId="8" borderId="0" xfId="0" applyFont="1" applyFill="1" applyBorder="1" applyAlignment="1">
      <alignment horizontal="center" vertical="center"/>
    </xf>
    <xf numFmtId="0" fontId="35" fillId="8" borderId="13" xfId="0" applyFont="1" applyFill="1" applyBorder="1" applyAlignment="1">
      <alignment horizontal="center" vertical="center"/>
    </xf>
    <xf numFmtId="1" fontId="18" fillId="6" borderId="15" xfId="0" applyNumberFormat="1" applyFont="1" applyFill="1" applyBorder="1" applyAlignment="1" applyProtection="1">
      <alignment horizontal="left" vertical="center"/>
    </xf>
    <xf numFmtId="0" fontId="19" fillId="6" borderId="5" xfId="0" applyFont="1" applyFill="1" applyBorder="1" applyAlignment="1" applyProtection="1">
      <alignment horizontal="left" vertical="center"/>
    </xf>
    <xf numFmtId="0" fontId="19" fillId="6" borderId="18" xfId="0" applyFont="1" applyFill="1" applyBorder="1" applyAlignment="1" applyProtection="1">
      <alignment horizontal="left" vertical="center"/>
    </xf>
    <xf numFmtId="0" fontId="10" fillId="4" borderId="7" xfId="0" applyFont="1" applyFill="1" applyBorder="1" applyAlignment="1" applyProtection="1">
      <alignment horizontal="left" vertical="center"/>
    </xf>
    <xf numFmtId="0" fontId="10" fillId="4" borderId="1" xfId="0" applyFont="1" applyFill="1" applyBorder="1" applyAlignment="1" applyProtection="1">
      <alignment horizontal="left" vertical="center"/>
    </xf>
    <xf numFmtId="0" fontId="10" fillId="4" borderId="8" xfId="0" applyFont="1" applyFill="1" applyBorder="1" applyAlignment="1" applyProtection="1">
      <alignment horizontal="left" vertical="center"/>
    </xf>
    <xf numFmtId="0" fontId="7" fillId="4" borderId="2" xfId="0" applyFont="1" applyFill="1" applyBorder="1" applyAlignment="1" applyProtection="1">
      <alignment horizontal="center" vertical="center"/>
    </xf>
    <xf numFmtId="0" fontId="7" fillId="4" borderId="3" xfId="0" applyFont="1" applyFill="1" applyBorder="1" applyAlignment="1" applyProtection="1">
      <alignment horizontal="center" vertical="center"/>
    </xf>
    <xf numFmtId="0" fontId="7" fillId="4" borderId="4" xfId="0" applyFont="1" applyFill="1" applyBorder="1" applyAlignment="1" applyProtection="1">
      <alignment horizontal="center" vertical="center"/>
    </xf>
    <xf numFmtId="0" fontId="10" fillId="4" borderId="2" xfId="0" applyFont="1" applyFill="1" applyBorder="1" applyAlignment="1" applyProtection="1">
      <alignment horizontal="left" vertical="center"/>
    </xf>
    <xf numFmtId="0" fontId="10" fillId="4" borderId="3" xfId="0" applyFont="1" applyFill="1" applyBorder="1" applyAlignment="1" applyProtection="1">
      <alignment horizontal="left" vertical="center"/>
    </xf>
    <xf numFmtId="0" fontId="0" fillId="0" borderId="4" xfId="0" applyBorder="1" applyAlignment="1" applyProtection="1">
      <alignment horizontal="left" vertical="center"/>
    </xf>
    <xf numFmtId="0" fontId="10" fillId="4" borderId="15" xfId="0" applyFont="1" applyFill="1" applyBorder="1" applyAlignment="1" applyProtection="1">
      <alignment vertical="center"/>
    </xf>
    <xf numFmtId="0" fontId="0" fillId="0" borderId="5" xfId="0" applyBorder="1" applyAlignment="1" applyProtection="1">
      <alignment vertical="center"/>
    </xf>
    <xf numFmtId="0" fontId="0" fillId="0" borderId="18" xfId="0" applyBorder="1" applyAlignment="1" applyProtection="1">
      <alignment vertical="center"/>
    </xf>
  </cellXfs>
  <cellStyles count="1">
    <cellStyle name="Normal" xfId="0" builtinId="0"/>
  </cellStyles>
  <dxfs count="0"/>
  <tableStyles count="0" defaultTableStyle="TableStyleMedium2" defaultPivotStyle="PivotStyleLight16"/>
  <colors>
    <mruColors>
      <color rgb="FF99FFCC"/>
      <color rgb="FF00F200"/>
      <color rgb="FF3FFF3F"/>
      <color rgb="FF99FF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5</xdr:col>
      <xdr:colOff>419101</xdr:colOff>
      <xdr:row>15</xdr:row>
      <xdr:rowOff>104775</xdr:rowOff>
    </xdr:from>
    <xdr:to>
      <xdr:col>9</xdr:col>
      <xdr:colOff>345145</xdr:colOff>
      <xdr:row>27</xdr:row>
      <xdr:rowOff>66675</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00801" y="4419600"/>
          <a:ext cx="4774269" cy="2409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608541</xdr:colOff>
      <xdr:row>26</xdr:row>
      <xdr:rowOff>17993</xdr:rowOff>
    </xdr:from>
    <xdr:to>
      <xdr:col>11</xdr:col>
      <xdr:colOff>600075</xdr:colOff>
      <xdr:row>40</xdr:row>
      <xdr:rowOff>67805</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28341" y="6580718"/>
          <a:ext cx="6173259" cy="30406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5"/>
  <sheetViews>
    <sheetView tabSelected="1" topLeftCell="A11" zoomScale="115" zoomScaleNormal="115" workbookViewId="0">
      <selection activeCell="D20" sqref="D20"/>
    </sheetView>
  </sheetViews>
  <sheetFormatPr defaultColWidth="9.125" defaultRowHeight="14.3" x14ac:dyDescent="0.25"/>
  <cols>
    <col min="1" max="1" width="1.75" style="19" customWidth="1"/>
    <col min="2" max="2" width="59.75" style="19" customWidth="1"/>
    <col min="3" max="3" width="11.875" style="19" customWidth="1"/>
    <col min="4" max="4" width="9.75" style="19" customWidth="1"/>
    <col min="5" max="5" width="6.75" style="20" customWidth="1"/>
    <col min="6" max="6" width="44.75" style="19" customWidth="1"/>
    <col min="7" max="7" width="9.75" style="19" customWidth="1"/>
    <col min="8" max="8" width="6.75" style="19" customWidth="1"/>
    <col min="9" max="9" width="11.625" style="19" customWidth="1"/>
    <col min="10" max="10" width="10.875" style="19" customWidth="1"/>
    <col min="11" max="12" width="9.125" style="19" customWidth="1"/>
    <col min="13" max="15" width="9.125" style="19"/>
    <col min="16" max="16" width="14.75" style="19" customWidth="1"/>
    <col min="17" max="17" width="10.625" style="19" customWidth="1"/>
    <col min="18" max="18" width="10.25" style="19" customWidth="1"/>
    <col min="19" max="16384" width="9.125" style="19"/>
  </cols>
  <sheetData>
    <row r="1" spans="1:6" ht="12.1" customHeight="1" thickBot="1" x14ac:dyDescent="0.3"/>
    <row r="2" spans="1:6" ht="30.1" customHeight="1" thickBot="1" x14ac:dyDescent="0.3">
      <c r="A2" s="80"/>
      <c r="B2" s="138" t="s">
        <v>104</v>
      </c>
      <c r="C2" s="139"/>
      <c r="D2" s="139"/>
      <c r="E2" s="139"/>
      <c r="F2" s="140"/>
    </row>
    <row r="3" spans="1:6" ht="30.1" customHeight="1" thickBot="1" x14ac:dyDescent="0.3">
      <c r="A3" s="80"/>
      <c r="B3" s="81" t="s">
        <v>72</v>
      </c>
      <c r="C3" s="137" t="s">
        <v>106</v>
      </c>
      <c r="D3" s="137"/>
      <c r="E3" s="82"/>
      <c r="F3" s="83"/>
    </row>
    <row r="4" spans="1:6" ht="21.1" customHeight="1" x14ac:dyDescent="0.25">
      <c r="A4" s="80"/>
      <c r="B4" s="141" t="s">
        <v>75</v>
      </c>
      <c r="C4" s="142"/>
      <c r="D4" s="142"/>
      <c r="E4" s="142"/>
      <c r="F4" s="143"/>
    </row>
    <row r="5" spans="1:6" ht="14.95" customHeight="1" x14ac:dyDescent="0.25">
      <c r="A5" s="80"/>
      <c r="B5" s="144" t="s">
        <v>95</v>
      </c>
      <c r="C5" s="145"/>
      <c r="D5" s="145"/>
      <c r="E5" s="145"/>
      <c r="F5" s="146"/>
    </row>
    <row r="6" spans="1:6" x14ac:dyDescent="0.25">
      <c r="A6" s="80"/>
      <c r="B6" s="144"/>
      <c r="C6" s="145"/>
      <c r="D6" s="145"/>
      <c r="E6" s="145"/>
      <c r="F6" s="146"/>
    </row>
    <row r="7" spans="1:6" x14ac:dyDescent="0.25">
      <c r="A7" s="80"/>
      <c r="B7" s="144"/>
      <c r="C7" s="145"/>
      <c r="D7" s="145"/>
      <c r="E7" s="145"/>
      <c r="F7" s="146"/>
    </row>
    <row r="8" spans="1:6" ht="14.95" customHeight="1" thickBot="1" x14ac:dyDescent="0.3">
      <c r="A8" s="80"/>
      <c r="B8" s="144"/>
      <c r="C8" s="145"/>
      <c r="D8" s="145"/>
      <c r="E8" s="145"/>
      <c r="F8" s="146"/>
    </row>
    <row r="9" spans="1:6" ht="27" customHeight="1" thickBot="1" x14ac:dyDescent="0.3">
      <c r="A9" s="80"/>
      <c r="B9" s="147" t="s">
        <v>105</v>
      </c>
      <c r="C9" s="148"/>
      <c r="D9" s="148"/>
      <c r="E9" s="148"/>
      <c r="F9" s="149"/>
    </row>
    <row r="10" spans="1:6" ht="23.95" customHeight="1" x14ac:dyDescent="0.25">
      <c r="A10" s="80"/>
      <c r="B10" s="150" t="s">
        <v>73</v>
      </c>
      <c r="C10" s="151"/>
      <c r="D10" s="151"/>
      <c r="E10" s="151"/>
      <c r="F10" s="152"/>
    </row>
    <row r="11" spans="1:6" ht="23.95" customHeight="1" thickBot="1" x14ac:dyDescent="0.3">
      <c r="A11" s="80"/>
      <c r="B11" s="123" t="s">
        <v>96</v>
      </c>
      <c r="C11" s="124"/>
      <c r="D11" s="124"/>
      <c r="E11" s="124"/>
      <c r="F11" s="125"/>
    </row>
    <row r="12" spans="1:6" ht="57.1" customHeight="1" thickBot="1" x14ac:dyDescent="0.3">
      <c r="A12" s="80"/>
      <c r="B12" s="126" t="s">
        <v>74</v>
      </c>
      <c r="C12" s="127"/>
      <c r="D12" s="127"/>
      <c r="E12" s="127"/>
      <c r="F12" s="128"/>
    </row>
    <row r="13" spans="1:6" ht="23.95" customHeight="1" thickBot="1" x14ac:dyDescent="0.3">
      <c r="A13" s="80"/>
      <c r="B13" s="96"/>
      <c r="C13" s="96"/>
      <c r="D13" s="96"/>
      <c r="E13" s="96"/>
      <c r="F13" s="96"/>
    </row>
    <row r="14" spans="1:6" ht="14.95" customHeight="1" x14ac:dyDescent="0.25">
      <c r="A14" s="80"/>
      <c r="B14" s="129" t="s">
        <v>0</v>
      </c>
      <c r="C14" s="130"/>
      <c r="D14" s="130"/>
      <c r="E14" s="130"/>
      <c r="F14" s="131"/>
    </row>
    <row r="15" spans="1:6" ht="15.8" customHeight="1" thickBot="1" x14ac:dyDescent="0.3">
      <c r="A15" s="80"/>
      <c r="B15" s="132"/>
      <c r="C15" s="133"/>
      <c r="D15" s="133"/>
      <c r="E15" s="133"/>
      <c r="F15" s="134"/>
    </row>
    <row r="16" spans="1:6" ht="18" customHeight="1" x14ac:dyDescent="0.25"/>
    <row r="17" spans="2:20" ht="18.350000000000001" x14ac:dyDescent="0.25">
      <c r="B17" s="135" t="s">
        <v>28</v>
      </c>
      <c r="C17" s="136"/>
      <c r="D17" s="43"/>
      <c r="E17" s="39"/>
      <c r="F17" s="39"/>
      <c r="G17" s="39"/>
      <c r="O17" s="99"/>
      <c r="P17" s="99"/>
      <c r="Q17" s="99"/>
      <c r="R17" s="99"/>
    </row>
    <row r="18" spans="2:20" ht="9" customHeight="1" thickBot="1" x14ac:dyDescent="0.3">
      <c r="E18" s="40"/>
      <c r="F18" s="21"/>
      <c r="O18" s="99"/>
      <c r="P18" s="99"/>
      <c r="Q18" s="99"/>
      <c r="R18" s="99"/>
    </row>
    <row r="19" spans="2:20" ht="15.65" x14ac:dyDescent="0.25">
      <c r="B19" s="162" t="s">
        <v>76</v>
      </c>
      <c r="C19" s="163"/>
      <c r="D19" s="163"/>
      <c r="E19" s="164"/>
      <c r="F19" s="45"/>
      <c r="M19" s="25"/>
      <c r="N19" s="25"/>
      <c r="O19" s="25"/>
      <c r="P19" s="93" t="s">
        <v>79</v>
      </c>
      <c r="Q19" s="25"/>
      <c r="R19" s="25"/>
    </row>
    <row r="20" spans="2:20" ht="16.5" customHeight="1" x14ac:dyDescent="0.25">
      <c r="B20" s="59" t="s">
        <v>62</v>
      </c>
      <c r="C20" s="26" t="s">
        <v>45</v>
      </c>
      <c r="D20" s="17">
        <v>50</v>
      </c>
      <c r="E20" s="60" t="s">
        <v>1</v>
      </c>
      <c r="F20" s="46"/>
      <c r="M20" s="25"/>
      <c r="N20" s="25"/>
      <c r="O20" s="25"/>
      <c r="P20" s="100" t="s">
        <v>87</v>
      </c>
      <c r="Q20" s="101">
        <v>0.45</v>
      </c>
      <c r="R20" s="22"/>
      <c r="S20" s="24"/>
    </row>
    <row r="21" spans="2:20" ht="16.5" customHeight="1" x14ac:dyDescent="0.25">
      <c r="B21" s="59" t="s">
        <v>61</v>
      </c>
      <c r="C21" s="26" t="s">
        <v>46</v>
      </c>
      <c r="D21" s="16">
        <v>70</v>
      </c>
      <c r="E21" s="61" t="s">
        <v>1</v>
      </c>
      <c r="F21" s="46"/>
      <c r="M21" s="25"/>
      <c r="N21" s="25"/>
      <c r="O21" s="25"/>
      <c r="P21" s="100" t="s">
        <v>88</v>
      </c>
      <c r="Q21" s="101">
        <v>2.2000000000000002</v>
      </c>
      <c r="R21" s="6"/>
      <c r="S21" s="93"/>
    </row>
    <row r="22" spans="2:20" ht="16.5" customHeight="1" x14ac:dyDescent="0.25">
      <c r="B22" s="59"/>
      <c r="C22" s="27"/>
      <c r="D22" s="37"/>
      <c r="E22" s="60"/>
      <c r="F22" s="46"/>
      <c r="M22" s="25"/>
      <c r="N22" s="25"/>
      <c r="O22" s="25"/>
      <c r="P22" s="102" t="s">
        <v>91</v>
      </c>
      <c r="Q22" s="103">
        <v>6.4</v>
      </c>
      <c r="R22" s="6"/>
      <c r="S22" s="93"/>
    </row>
    <row r="23" spans="2:20" ht="16.5" customHeight="1" x14ac:dyDescent="0.25">
      <c r="B23" s="165" t="s">
        <v>77</v>
      </c>
      <c r="C23" s="166"/>
      <c r="D23" s="166"/>
      <c r="E23" s="167"/>
      <c r="F23" s="47"/>
      <c r="M23" s="25"/>
      <c r="N23" s="25"/>
      <c r="O23" s="25"/>
      <c r="P23" s="100" t="s">
        <v>90</v>
      </c>
      <c r="Q23" s="101">
        <v>2.2000000000000002</v>
      </c>
      <c r="R23" s="6"/>
      <c r="S23" s="93"/>
    </row>
    <row r="24" spans="2:20" ht="16.5" customHeight="1" thickBot="1" x14ac:dyDescent="0.3">
      <c r="B24" s="63" t="s">
        <v>63</v>
      </c>
      <c r="C24" s="26" t="s">
        <v>47</v>
      </c>
      <c r="D24" s="18">
        <v>18</v>
      </c>
      <c r="E24" s="62" t="s">
        <v>1</v>
      </c>
      <c r="F24" s="47"/>
      <c r="G24" s="23"/>
      <c r="M24" s="25"/>
      <c r="N24" s="25"/>
      <c r="O24" s="99"/>
      <c r="P24" s="100" t="s">
        <v>89</v>
      </c>
      <c r="Q24" s="101">
        <v>0.28000000000000003</v>
      </c>
      <c r="R24" s="99"/>
    </row>
    <row r="25" spans="2:20" ht="16.5" customHeight="1" x14ac:dyDescent="0.25">
      <c r="B25" s="59" t="s">
        <v>65</v>
      </c>
      <c r="C25" s="26" t="s">
        <v>48</v>
      </c>
      <c r="D25" s="18">
        <v>16.5</v>
      </c>
      <c r="E25" s="62" t="s">
        <v>1</v>
      </c>
      <c r="F25" s="46"/>
      <c r="M25" s="25"/>
      <c r="N25" s="25"/>
      <c r="O25" s="25"/>
      <c r="P25" s="100" t="s">
        <v>10</v>
      </c>
      <c r="Q25" s="101">
        <v>4.1500000000000004</v>
      </c>
      <c r="R25" s="104"/>
      <c r="S25" s="93"/>
      <c r="T25" s="45"/>
    </row>
    <row r="26" spans="2:20" ht="16.5" customHeight="1" thickBot="1" x14ac:dyDescent="0.3">
      <c r="B26" s="63" t="s">
        <v>64</v>
      </c>
      <c r="C26" s="64" t="s">
        <v>49</v>
      </c>
      <c r="D26" s="65">
        <v>12</v>
      </c>
      <c r="E26" s="66" t="s">
        <v>1</v>
      </c>
      <c r="H26" s="39"/>
      <c r="I26" s="39"/>
      <c r="M26" s="25"/>
      <c r="N26" s="25"/>
      <c r="O26" s="25"/>
      <c r="P26" s="100" t="s">
        <v>107</v>
      </c>
      <c r="Q26" s="105">
        <v>2.4999999999999999E-7</v>
      </c>
      <c r="R26" s="99"/>
      <c r="S26" s="29"/>
    </row>
    <row r="27" spans="2:20" ht="16.5" customHeight="1" x14ac:dyDescent="0.25">
      <c r="B27" s="30"/>
      <c r="C27" s="30"/>
      <c r="D27" s="30"/>
      <c r="F27" s="47"/>
      <c r="M27" s="25"/>
      <c r="N27" s="25"/>
      <c r="O27" s="25"/>
      <c r="P27" s="100" t="s">
        <v>108</v>
      </c>
      <c r="Q27" s="105">
        <v>2.4999999999999999E-7</v>
      </c>
      <c r="R27" s="25"/>
      <c r="S27" s="29"/>
    </row>
    <row r="28" spans="2:20" ht="14.95" thickBot="1" x14ac:dyDescent="0.3">
      <c r="B28" s="24"/>
      <c r="C28" s="24"/>
      <c r="D28" s="24"/>
      <c r="E28" s="31"/>
      <c r="F28" s="46"/>
      <c r="O28" s="99"/>
      <c r="P28" s="100" t="s">
        <v>11</v>
      </c>
      <c r="Q28" s="106">
        <v>1.1E-4</v>
      </c>
      <c r="R28" s="25"/>
      <c r="S28" s="29"/>
    </row>
    <row r="29" spans="2:20" ht="15.65" x14ac:dyDescent="0.25">
      <c r="B29" s="159" t="s">
        <v>33</v>
      </c>
      <c r="C29" s="160"/>
      <c r="D29" s="160"/>
      <c r="E29" s="161"/>
      <c r="F29" s="46"/>
      <c r="O29" s="99"/>
      <c r="P29" s="100" t="s">
        <v>12</v>
      </c>
      <c r="Q29" s="105">
        <v>1.1999999999999999E-3</v>
      </c>
      <c r="R29" s="99"/>
    </row>
    <row r="30" spans="2:20" ht="14.95" x14ac:dyDescent="0.25">
      <c r="B30" s="67" t="s">
        <v>66</v>
      </c>
      <c r="C30" s="32" t="s">
        <v>23</v>
      </c>
      <c r="D30" s="18">
        <v>65</v>
      </c>
      <c r="E30" s="68" t="s">
        <v>4</v>
      </c>
      <c r="F30" s="46"/>
      <c r="O30" s="99"/>
      <c r="P30" s="99"/>
      <c r="Q30" s="99"/>
      <c r="R30" s="99"/>
    </row>
    <row r="31" spans="2:20" ht="17" x14ac:dyDescent="0.25">
      <c r="B31" s="59" t="s">
        <v>68</v>
      </c>
      <c r="C31" s="33" t="s">
        <v>5</v>
      </c>
      <c r="D31" s="18">
        <v>0.5</v>
      </c>
      <c r="E31" s="68" t="s">
        <v>3</v>
      </c>
      <c r="F31" s="46"/>
      <c r="O31" s="99"/>
      <c r="P31" s="99"/>
      <c r="Q31" s="99"/>
      <c r="R31" s="99"/>
    </row>
    <row r="32" spans="2:20" ht="17" x14ac:dyDescent="0.25">
      <c r="B32" s="59" t="s">
        <v>67</v>
      </c>
      <c r="C32" s="33" t="s">
        <v>50</v>
      </c>
      <c r="D32" s="18">
        <v>1000</v>
      </c>
      <c r="E32" s="68" t="s">
        <v>17</v>
      </c>
      <c r="F32" s="46"/>
    </row>
    <row r="33" spans="1:21" ht="15.65" x14ac:dyDescent="0.25">
      <c r="B33" s="156" t="s">
        <v>30</v>
      </c>
      <c r="C33" s="157"/>
      <c r="D33" s="157"/>
      <c r="E33" s="158"/>
      <c r="F33" s="48"/>
    </row>
    <row r="34" spans="1:21" ht="17" x14ac:dyDescent="0.25">
      <c r="B34" s="59" t="s">
        <v>6</v>
      </c>
      <c r="C34" s="33" t="s">
        <v>7</v>
      </c>
      <c r="D34" s="18">
        <v>7.556</v>
      </c>
      <c r="E34" s="68"/>
      <c r="F34" s="48"/>
    </row>
    <row r="35" spans="1:21" ht="17" x14ac:dyDescent="0.25">
      <c r="B35" s="59" t="s">
        <v>27</v>
      </c>
      <c r="C35" s="33" t="s">
        <v>8</v>
      </c>
      <c r="D35" s="18">
        <v>1100</v>
      </c>
      <c r="E35" s="68" t="s">
        <v>24</v>
      </c>
      <c r="F35" s="48"/>
      <c r="H35" s="28"/>
    </row>
    <row r="36" spans="1:21" ht="17" x14ac:dyDescent="0.25">
      <c r="B36" s="59" t="s">
        <v>78</v>
      </c>
      <c r="C36" s="34" t="s">
        <v>29</v>
      </c>
      <c r="D36" s="18">
        <v>150</v>
      </c>
      <c r="E36" s="68" t="s">
        <v>2</v>
      </c>
    </row>
    <row r="37" spans="1:21" ht="18.350000000000001" x14ac:dyDescent="0.25">
      <c r="B37" s="153" t="s">
        <v>69</v>
      </c>
      <c r="C37" s="154"/>
      <c r="D37" s="154"/>
      <c r="E37" s="155"/>
      <c r="F37" s="45"/>
      <c r="J37" s="25"/>
      <c r="K37" s="25"/>
      <c r="L37" s="29"/>
    </row>
    <row r="38" spans="1:21" ht="17.7" thickBot="1" x14ac:dyDescent="0.3">
      <c r="B38" s="63" t="s">
        <v>80</v>
      </c>
      <c r="C38" s="69" t="s">
        <v>22</v>
      </c>
      <c r="D38" s="65">
        <v>24</v>
      </c>
      <c r="E38" s="70" t="s">
        <v>9</v>
      </c>
      <c r="F38" s="45"/>
      <c r="O38" s="45"/>
      <c r="P38" s="45"/>
      <c r="Q38" s="45"/>
      <c r="R38" s="45"/>
      <c r="S38" s="45"/>
      <c r="T38" s="45"/>
      <c r="U38" s="45"/>
    </row>
    <row r="39" spans="1:21" x14ac:dyDescent="0.25">
      <c r="O39" s="45"/>
      <c r="P39" s="45"/>
      <c r="Q39" s="45"/>
      <c r="R39" s="45"/>
      <c r="S39" s="45"/>
      <c r="T39" s="45"/>
      <c r="U39" s="45"/>
    </row>
    <row r="40" spans="1:21" x14ac:dyDescent="0.25">
      <c r="O40" s="45"/>
      <c r="P40" s="45"/>
      <c r="Q40" s="45"/>
      <c r="R40" s="45"/>
      <c r="S40" s="45"/>
      <c r="T40" s="45"/>
      <c r="U40" s="45"/>
    </row>
    <row r="41" spans="1:21" ht="14.95" thickBot="1" x14ac:dyDescent="0.3">
      <c r="F41" s="49"/>
      <c r="I41" s="2"/>
      <c r="J41" s="35"/>
      <c r="K41" s="2"/>
      <c r="L41" s="2"/>
      <c r="M41" s="35"/>
      <c r="N41" s="35"/>
      <c r="O41" s="45"/>
      <c r="P41" s="45"/>
      <c r="Q41" s="45"/>
      <c r="R41" s="45"/>
      <c r="S41" s="45"/>
      <c r="T41" s="45"/>
      <c r="U41" s="45"/>
    </row>
    <row r="42" spans="1:21" ht="14.95" customHeight="1" x14ac:dyDescent="0.25">
      <c r="B42" s="129" t="s">
        <v>97</v>
      </c>
      <c r="C42" s="130"/>
      <c r="D42" s="130"/>
      <c r="E42" s="130"/>
      <c r="F42" s="131"/>
      <c r="G42" s="49"/>
      <c r="M42" s="35"/>
      <c r="N42" s="35"/>
      <c r="O42" s="45"/>
      <c r="P42" s="45"/>
      <c r="Q42" s="45"/>
      <c r="R42" s="45"/>
      <c r="S42" s="45"/>
      <c r="T42" s="45"/>
      <c r="U42" s="45"/>
    </row>
    <row r="43" spans="1:21" ht="15.8" customHeight="1" thickBot="1" x14ac:dyDescent="0.3">
      <c r="A43" s="95"/>
      <c r="B43" s="132"/>
      <c r="C43" s="133"/>
      <c r="D43" s="133"/>
      <c r="E43" s="133"/>
      <c r="F43" s="134"/>
      <c r="G43" s="49"/>
      <c r="M43" s="35"/>
      <c r="N43" s="35"/>
      <c r="O43" s="104"/>
      <c r="P43" s="104"/>
      <c r="Q43" s="104"/>
      <c r="R43" s="104"/>
      <c r="S43" s="104"/>
      <c r="T43" s="45"/>
      <c r="U43" s="45"/>
    </row>
    <row r="44" spans="1:21" x14ac:dyDescent="0.25">
      <c r="G44" s="87"/>
      <c r="M44" s="35"/>
      <c r="N44" s="35"/>
      <c r="O44" s="104"/>
      <c r="P44" s="104"/>
      <c r="Q44" s="104"/>
      <c r="R44" s="104"/>
      <c r="S44" s="104"/>
      <c r="T44" s="45"/>
      <c r="U44" s="45"/>
    </row>
    <row r="45" spans="1:21" ht="17" thickBot="1" x14ac:dyDescent="0.3">
      <c r="B45" s="122" t="s">
        <v>85</v>
      </c>
      <c r="C45" s="122"/>
      <c r="D45" s="122"/>
      <c r="E45" s="122"/>
      <c r="G45" s="49"/>
      <c r="H45" s="45"/>
      <c r="M45" s="35"/>
      <c r="N45" s="35"/>
      <c r="O45" s="6"/>
      <c r="P45" s="104"/>
      <c r="Q45" s="104"/>
      <c r="R45" s="104"/>
      <c r="S45" s="104"/>
      <c r="T45" s="45"/>
      <c r="U45" s="45"/>
    </row>
    <row r="46" spans="1:21" x14ac:dyDescent="0.25">
      <c r="B46" s="119" t="s">
        <v>103</v>
      </c>
      <c r="C46" s="120"/>
      <c r="D46" s="120"/>
      <c r="E46" s="121"/>
      <c r="G46" s="49"/>
      <c r="H46" s="45"/>
      <c r="M46" s="35"/>
      <c r="N46" s="35"/>
      <c r="O46" s="104"/>
      <c r="P46" s="6" t="s">
        <v>14</v>
      </c>
      <c r="Q46" s="6">
        <f>((D47+D48)/D47)</f>
        <v>42.957061714123761</v>
      </c>
      <c r="R46" s="6" t="s">
        <v>31</v>
      </c>
      <c r="S46" s="6"/>
      <c r="T46" s="45"/>
      <c r="U46" s="45"/>
    </row>
    <row r="47" spans="1:21" ht="17" x14ac:dyDescent="0.25">
      <c r="B47" s="50" t="s">
        <v>81</v>
      </c>
      <c r="C47" s="71" t="s">
        <v>34</v>
      </c>
      <c r="D47" s="115">
        <v>10</v>
      </c>
      <c r="E47" s="78" t="s">
        <v>13</v>
      </c>
      <c r="F47" s="2"/>
      <c r="M47" s="35"/>
      <c r="N47" s="35"/>
      <c r="O47" s="104"/>
      <c r="P47" s="6" t="s">
        <v>14</v>
      </c>
      <c r="Q47" s="6">
        <f>((D47+D48)/D47)/(Q25*1.1)</f>
        <v>9.4100901892932658</v>
      </c>
      <c r="R47" s="6" t="s">
        <v>31</v>
      </c>
      <c r="S47" s="6"/>
      <c r="T47" s="45"/>
      <c r="U47" s="45"/>
    </row>
    <row r="48" spans="1:21" ht="17" x14ac:dyDescent="0.25">
      <c r="B48" s="50" t="s">
        <v>44</v>
      </c>
      <c r="C48" s="72" t="s">
        <v>36</v>
      </c>
      <c r="D48" s="8">
        <f>(D47*0.99998)*((D21/D34)+D26-1.1*Q20)/(1.1*Q20)</f>
        <v>419.57061714123762</v>
      </c>
      <c r="E48" s="10" t="s">
        <v>13</v>
      </c>
      <c r="F48" s="3"/>
      <c r="G48" s="3"/>
      <c r="H48" s="3"/>
      <c r="I48" s="35"/>
      <c r="J48" s="35"/>
      <c r="K48" s="35"/>
      <c r="L48" s="35"/>
      <c r="M48" s="35"/>
      <c r="N48" s="35"/>
      <c r="O48" s="104"/>
      <c r="P48" s="6" t="s">
        <v>109</v>
      </c>
      <c r="Q48" s="6">
        <f>SQRT(D35*D36)*2*3.1416*0.000000001</f>
        <v>2.5522479052004333E-6</v>
      </c>
      <c r="R48" s="6" t="s">
        <v>31</v>
      </c>
      <c r="S48" s="104"/>
      <c r="T48" s="45"/>
      <c r="U48" s="45"/>
    </row>
    <row r="49" spans="2:21" ht="19.05" x14ac:dyDescent="0.25">
      <c r="B49" s="50" t="s">
        <v>82</v>
      </c>
      <c r="C49" s="72" t="s">
        <v>35</v>
      </c>
      <c r="D49" s="116">
        <v>430</v>
      </c>
      <c r="E49" s="78" t="s">
        <v>13</v>
      </c>
      <c r="F49" s="38" t="str">
        <f>IF(OR(D49&lt;0.9*D48,D49&gt;1.1*D48),"&lt;= Info: selected value is more than 10% from calculated value.","")</f>
        <v/>
      </c>
      <c r="G49" s="79"/>
      <c r="H49" s="79"/>
      <c r="I49" s="35"/>
      <c r="J49" s="35"/>
      <c r="K49" s="35"/>
      <c r="L49" s="35"/>
      <c r="M49" s="35"/>
      <c r="N49" s="35"/>
      <c r="O49" s="104"/>
      <c r="P49" s="6" t="s">
        <v>110</v>
      </c>
      <c r="Q49" s="118">
        <f>(0.85*D32*0.000000001-100*0.000000001)</f>
        <v>7.5000000000000002E-7</v>
      </c>
      <c r="R49" s="6" t="s">
        <v>31</v>
      </c>
      <c r="S49" s="104"/>
      <c r="T49" s="45"/>
      <c r="U49" s="45"/>
    </row>
    <row r="50" spans="2:21" ht="19.05" x14ac:dyDescent="0.25">
      <c r="B50" s="51" t="s">
        <v>70</v>
      </c>
      <c r="C50" s="71" t="s">
        <v>51</v>
      </c>
      <c r="D50" s="73">
        <f>IF(D49=0,((D20/D34)+D24-Q26*D48)*D47/(D47+D48),((D20/D34)+D24-Q26*D49)*D47/(D47+D49))</f>
        <v>0.55948068882645952</v>
      </c>
      <c r="E50" s="14" t="s">
        <v>1</v>
      </c>
      <c r="F50" s="38" t="str">
        <f>IF(D50&gt;Q21,"VPC(max) is above limit; SR on-time can be shorter than expected at high line.  Increase Rvpc1, increase Nps, or decrease Vbulk(max).","")</f>
        <v/>
      </c>
      <c r="G50" s="2"/>
      <c r="H50" s="2"/>
      <c r="I50" s="35"/>
      <c r="J50" s="35"/>
      <c r="K50" s="35"/>
      <c r="L50" s="35"/>
      <c r="M50" s="35"/>
      <c r="N50" s="35"/>
      <c r="O50" s="104"/>
      <c r="P50" s="104"/>
      <c r="Q50" s="104"/>
      <c r="R50" s="104"/>
      <c r="S50" s="104"/>
      <c r="T50" s="45"/>
      <c r="U50" s="45"/>
    </row>
    <row r="51" spans="2:21" ht="19.05" x14ac:dyDescent="0.25">
      <c r="B51" s="51" t="s">
        <v>58</v>
      </c>
      <c r="C51" s="71" t="s">
        <v>52</v>
      </c>
      <c r="D51" s="73">
        <f>IF(D49=0,((D21/D34)+D26-Q26*D48)*D47/(D47+D48),((D21/D34)+D26-Q26*D49)*D47/(D47+D49))</f>
        <v>0.48327394162977044</v>
      </c>
      <c r="E51" s="14" t="s">
        <v>1</v>
      </c>
      <c r="F51" s="38" t="str">
        <f>IF(D51&lt;Q20,"VPC(min) is below limit; SR may not operate at low line.  Decrease Rvpc1, decrease Nps, or increase Vbulk(min).","")</f>
        <v/>
      </c>
      <c r="G51" s="2"/>
      <c r="H51" s="2"/>
      <c r="I51" s="35"/>
      <c r="J51" s="35"/>
      <c r="K51" s="35"/>
      <c r="L51" s="35"/>
      <c r="M51" s="35"/>
      <c r="N51" s="35"/>
      <c r="O51" s="104"/>
      <c r="P51" s="104"/>
      <c r="Q51" s="104"/>
      <c r="R51" s="104"/>
      <c r="S51" s="104"/>
      <c r="T51" s="45"/>
      <c r="U51" s="45"/>
    </row>
    <row r="52" spans="2:21" ht="19.05" x14ac:dyDescent="0.25">
      <c r="B52" s="51" t="s">
        <v>86</v>
      </c>
      <c r="C52" s="77" t="s">
        <v>54</v>
      </c>
      <c r="D52" s="54">
        <f>D51*D53</f>
        <v>3.7174918586905421</v>
      </c>
      <c r="E52" s="14" t="s">
        <v>26</v>
      </c>
      <c r="F52" s="38" t="str">
        <f>IF(D52&gt;Q22,"V-us product is above limit; SR on-time can be shorter than expected at low line.  Increase Rvpc1, or increase Fsw.","")</f>
        <v/>
      </c>
      <c r="H52" s="2"/>
      <c r="I52" s="35"/>
      <c r="J52" s="35"/>
      <c r="K52" s="35"/>
      <c r="L52" s="35"/>
      <c r="M52" s="35"/>
      <c r="N52" s="35"/>
      <c r="O52" s="45"/>
      <c r="P52" s="45"/>
      <c r="Q52" s="45"/>
      <c r="R52" s="45"/>
      <c r="S52" s="45"/>
      <c r="T52" s="45"/>
      <c r="U52" s="45"/>
    </row>
    <row r="53" spans="2:21" ht="17.7" thickBot="1" x14ac:dyDescent="0.3">
      <c r="B53" s="52" t="s">
        <v>32</v>
      </c>
      <c r="C53" s="72" t="s">
        <v>53</v>
      </c>
      <c r="D53" s="55">
        <f>1000*(1-D31)/D30</f>
        <v>7.6923076923076925</v>
      </c>
      <c r="E53" s="44" t="s">
        <v>25</v>
      </c>
      <c r="G53" s="76"/>
      <c r="H53" s="2"/>
      <c r="I53" s="2"/>
      <c r="J53" s="2"/>
      <c r="K53" s="2"/>
      <c r="L53" s="2"/>
      <c r="M53" s="2"/>
      <c r="N53" s="2"/>
      <c r="O53" s="45"/>
      <c r="P53" s="45"/>
      <c r="Q53" s="45"/>
      <c r="R53" s="45"/>
      <c r="S53" s="45"/>
      <c r="T53" s="45"/>
      <c r="U53" s="45"/>
    </row>
    <row r="54" spans="2:21" x14ac:dyDescent="0.25">
      <c r="B54" s="2"/>
      <c r="C54" s="7"/>
      <c r="D54" s="2"/>
      <c r="E54" s="2"/>
      <c r="G54" s="2"/>
      <c r="H54" s="2"/>
      <c r="I54" s="2"/>
      <c r="J54" s="2"/>
      <c r="K54" s="2"/>
      <c r="L54" s="2"/>
      <c r="M54" s="2"/>
      <c r="N54" s="2"/>
      <c r="O54" s="45"/>
      <c r="P54" s="45"/>
      <c r="Q54" s="45"/>
      <c r="R54" s="45"/>
      <c r="S54" s="45"/>
      <c r="T54" s="45"/>
      <c r="U54" s="45"/>
    </row>
    <row r="55" spans="2:21" ht="14.95" thickBot="1" x14ac:dyDescent="0.3">
      <c r="B55" s="2"/>
      <c r="C55" s="11"/>
      <c r="D55" s="2"/>
      <c r="E55" s="2"/>
      <c r="G55" s="2"/>
      <c r="H55" s="2"/>
      <c r="I55" s="2"/>
      <c r="J55" s="2"/>
      <c r="K55" s="2"/>
      <c r="L55" s="2"/>
      <c r="M55" s="2"/>
      <c r="N55" s="2"/>
    </row>
    <row r="56" spans="2:21" x14ac:dyDescent="0.25">
      <c r="B56" s="119" t="s">
        <v>102</v>
      </c>
      <c r="C56" s="120"/>
      <c r="D56" s="120"/>
      <c r="E56" s="121"/>
      <c r="G56" s="2"/>
      <c r="H56" s="2"/>
      <c r="I56" s="2"/>
      <c r="J56" s="2"/>
      <c r="K56" s="2"/>
      <c r="L56" s="2"/>
      <c r="M56" s="2"/>
      <c r="N56" s="2"/>
    </row>
    <row r="57" spans="2:21" ht="17" x14ac:dyDescent="0.25">
      <c r="B57" s="50" t="s">
        <v>83</v>
      </c>
      <c r="C57" s="71" t="s">
        <v>42</v>
      </c>
      <c r="D57" s="115">
        <v>47</v>
      </c>
      <c r="E57" s="42" t="s">
        <v>13</v>
      </c>
      <c r="F57" s="2"/>
      <c r="G57" s="2"/>
      <c r="H57" s="2"/>
      <c r="I57" s="2"/>
      <c r="J57" s="2"/>
      <c r="K57" s="2"/>
      <c r="L57" s="2"/>
      <c r="M57" s="2"/>
      <c r="N57" s="2"/>
    </row>
    <row r="58" spans="2:21" ht="17" x14ac:dyDescent="0.25">
      <c r="B58" s="50" t="s">
        <v>43</v>
      </c>
      <c r="C58" s="72" t="s">
        <v>41</v>
      </c>
      <c r="D58" s="53">
        <f>D57*(((D47+D48)/D47)/(Q25*1.1)-1)</f>
        <v>395.27423889678352</v>
      </c>
      <c r="E58" s="10" t="s">
        <v>13</v>
      </c>
      <c r="I58" s="2"/>
      <c r="J58" s="2"/>
      <c r="K58" s="2"/>
      <c r="L58" s="2"/>
      <c r="M58" s="2"/>
      <c r="N58" s="2"/>
    </row>
    <row r="59" spans="2:21" ht="19.05" x14ac:dyDescent="0.25">
      <c r="B59" s="50" t="s">
        <v>84</v>
      </c>
      <c r="C59" s="72" t="s">
        <v>40</v>
      </c>
      <c r="D59" s="115">
        <v>390</v>
      </c>
      <c r="E59" s="42" t="s">
        <v>13</v>
      </c>
      <c r="F59" s="38" t="str">
        <f>IF(D59&gt;D58,"&lt;= Selected value should be lower than calculated value.",IF(D59&lt;0.9*D58,"&lt;= Info: selected value is more than 10% from calculated value.",""))</f>
        <v/>
      </c>
      <c r="I59" s="2"/>
      <c r="J59" s="2"/>
      <c r="K59" s="2"/>
      <c r="L59" s="2"/>
      <c r="M59" s="2"/>
      <c r="N59" s="2"/>
    </row>
    <row r="60" spans="2:21" ht="19.05" x14ac:dyDescent="0.25">
      <c r="B60" s="51" t="s">
        <v>71</v>
      </c>
      <c r="C60" s="71" t="s">
        <v>55</v>
      </c>
      <c r="D60" s="73">
        <f>IF(D59=0,(D24-Q27*D58)*D57/(D57+D58),(D24-Q27*D59)*D57/(D57+D59))</f>
        <v>1.9359162871853548</v>
      </c>
      <c r="E60" s="14" t="s">
        <v>1</v>
      </c>
      <c r="F60" s="38" t="str">
        <f>IF(D60&gt;Q23,"VSC(max) is above limit; SR on-time may be shorter than expected.  Increase Rvsc1, or decrease Vout(max).","")</f>
        <v/>
      </c>
      <c r="I60" s="2"/>
      <c r="J60" s="2"/>
      <c r="K60" s="2"/>
      <c r="L60" s="2"/>
      <c r="M60" s="2"/>
      <c r="N60" s="2"/>
    </row>
    <row r="61" spans="2:21" ht="19.05" x14ac:dyDescent="0.25">
      <c r="B61" s="50" t="s">
        <v>59</v>
      </c>
      <c r="C61" s="71" t="s">
        <v>56</v>
      </c>
      <c r="D61" s="74">
        <f>IF(D59=0,(D25-Q27*D58)*D57/(D57+D58),(D25-Q27*D59)*D57/(D57+D59))</f>
        <v>1.7745890560640734</v>
      </c>
      <c r="E61" s="10" t="s">
        <v>1</v>
      </c>
      <c r="F61" s="94"/>
      <c r="I61" s="2"/>
      <c r="J61" s="2"/>
      <c r="K61" s="2"/>
      <c r="L61" s="2"/>
      <c r="M61" s="2"/>
      <c r="N61" s="2"/>
    </row>
    <row r="62" spans="2:21" ht="19.7" thickBot="1" x14ac:dyDescent="0.3">
      <c r="B62" s="56" t="s">
        <v>92</v>
      </c>
      <c r="C62" s="71" t="s">
        <v>57</v>
      </c>
      <c r="D62" s="75">
        <f>IF(D59=0,(D26-Q27*D58)*D57/(D57+D58),(D26-Q27*D59)*D57/(D57+D59))</f>
        <v>1.2906073627002286</v>
      </c>
      <c r="E62" s="15" t="s">
        <v>1</v>
      </c>
      <c r="F62" s="38" t="str">
        <f>IF(D62&lt;Q24,"VSC(min) is below limit; SR may not operate at low Vout.  Decrease Rvsc1, or increase Vout(min).","")</f>
        <v/>
      </c>
      <c r="I62" s="2"/>
      <c r="J62" s="2"/>
      <c r="K62" s="2"/>
      <c r="L62" s="2"/>
      <c r="M62" s="2"/>
      <c r="N62" s="2"/>
    </row>
    <row r="63" spans="2:21" ht="14.95" thickBot="1" x14ac:dyDescent="0.3">
      <c r="B63" s="2"/>
      <c r="C63" s="58"/>
      <c r="D63" s="2"/>
      <c r="E63" s="2"/>
      <c r="F63" s="45"/>
      <c r="I63" s="2"/>
      <c r="J63" s="2"/>
      <c r="K63" s="2"/>
      <c r="L63" s="2"/>
      <c r="M63" s="2"/>
      <c r="N63" s="2"/>
    </row>
    <row r="64" spans="2:21" ht="19.55" customHeight="1" x14ac:dyDescent="0.25">
      <c r="B64" s="119" t="s">
        <v>101</v>
      </c>
      <c r="C64" s="120"/>
      <c r="D64" s="120"/>
      <c r="E64" s="121"/>
      <c r="F64" s="45"/>
      <c r="I64" s="2"/>
      <c r="J64" s="2"/>
      <c r="K64" s="2"/>
      <c r="L64" s="2"/>
      <c r="M64" s="2"/>
      <c r="N64" s="2"/>
    </row>
    <row r="65" spans="1:14" s="107" customFormat="1" ht="36" customHeight="1" x14ac:dyDescent="0.25">
      <c r="B65" s="108" t="s">
        <v>111</v>
      </c>
      <c r="C65" s="109" t="s">
        <v>94</v>
      </c>
      <c r="D65" s="110">
        <f>(D32*0.85-120)</f>
        <v>730</v>
      </c>
      <c r="E65" s="111" t="s">
        <v>17</v>
      </c>
      <c r="F65" s="114"/>
      <c r="I65" s="112"/>
      <c r="J65" s="112"/>
      <c r="K65" s="112"/>
      <c r="L65" s="112"/>
      <c r="M65" s="112"/>
      <c r="N65" s="112"/>
    </row>
    <row r="66" spans="1:14" ht="17" x14ac:dyDescent="0.25">
      <c r="B66" s="50" t="s">
        <v>60</v>
      </c>
      <c r="C66" s="72" t="s">
        <v>38</v>
      </c>
      <c r="D66" s="57">
        <f>(D65-100)/18</f>
        <v>35</v>
      </c>
      <c r="E66" s="10" t="s">
        <v>13</v>
      </c>
      <c r="F66" s="45"/>
      <c r="I66" s="2"/>
      <c r="J66" s="2"/>
      <c r="K66" s="2"/>
      <c r="L66" s="2"/>
      <c r="M66" s="2"/>
      <c r="N66" s="2"/>
    </row>
    <row r="67" spans="1:14" ht="19.05" x14ac:dyDescent="0.25">
      <c r="A67" s="30"/>
      <c r="B67" s="88" t="s">
        <v>82</v>
      </c>
      <c r="C67" s="89" t="s">
        <v>39</v>
      </c>
      <c r="D67" s="117">
        <v>35</v>
      </c>
      <c r="E67" s="90" t="s">
        <v>13</v>
      </c>
      <c r="F67" s="113" t="str">
        <f>IF(OR(D67&lt;5,D67&gt;100),"Rtblk value must be &gt;5K and &lt;100K.",IF(OR(D67&lt;0.9*D66,D67&gt;1.1*D66),"&lt;= Info: selected value is more than 10% from calculated value.",""))</f>
        <v/>
      </c>
      <c r="I67" s="2"/>
      <c r="J67" s="2"/>
      <c r="K67" s="2"/>
      <c r="L67" s="2"/>
      <c r="M67" s="2"/>
      <c r="N67" s="2"/>
    </row>
    <row r="68" spans="1:14" ht="17.7" thickBot="1" x14ac:dyDescent="0.3">
      <c r="B68" s="5" t="s">
        <v>93</v>
      </c>
      <c r="C68" s="86" t="s">
        <v>37</v>
      </c>
      <c r="D68" s="91">
        <f>D67*18+100</f>
        <v>730</v>
      </c>
      <c r="E68" s="92" t="s">
        <v>17</v>
      </c>
    </row>
    <row r="69" spans="1:14" x14ac:dyDescent="0.25">
      <c r="B69" s="2"/>
      <c r="C69" s="7"/>
      <c r="D69" s="2"/>
      <c r="E69" s="2"/>
    </row>
    <row r="70" spans="1:14" ht="14.95" thickBot="1" x14ac:dyDescent="0.3">
      <c r="B70" s="2"/>
      <c r="C70" s="7"/>
      <c r="D70" s="2"/>
      <c r="E70" s="2"/>
      <c r="F70" s="3" t="s">
        <v>3</v>
      </c>
      <c r="G70" s="11" t="s">
        <v>3</v>
      </c>
      <c r="H70" s="13" t="s">
        <v>3</v>
      </c>
    </row>
    <row r="71" spans="1:14" x14ac:dyDescent="0.25">
      <c r="B71" s="119" t="s">
        <v>100</v>
      </c>
      <c r="C71" s="120"/>
      <c r="D71" s="120"/>
      <c r="E71" s="121"/>
    </row>
    <row r="72" spans="1:14" ht="17" x14ac:dyDescent="0.25">
      <c r="B72" s="4" t="s">
        <v>18</v>
      </c>
      <c r="C72" s="84"/>
      <c r="D72" s="8">
        <f>D25^2/(D47+D48)</f>
        <v>0.63377239768353966</v>
      </c>
      <c r="E72" s="10" t="s">
        <v>15</v>
      </c>
    </row>
    <row r="73" spans="1:14" ht="17" x14ac:dyDescent="0.25">
      <c r="B73" s="4" t="s">
        <v>19</v>
      </c>
      <c r="C73" s="84"/>
      <c r="D73" s="8">
        <f>D25^2/(D57+D58)</f>
        <v>0.61556829689901249</v>
      </c>
      <c r="E73" s="10" t="s">
        <v>15</v>
      </c>
    </row>
    <row r="74" spans="1:14" x14ac:dyDescent="0.25">
      <c r="B74" s="4" t="s">
        <v>16</v>
      </c>
      <c r="C74" s="84"/>
      <c r="D74" s="8">
        <f>Q28*D25*1000</f>
        <v>1.8149999999999999</v>
      </c>
      <c r="E74" s="10" t="s">
        <v>15</v>
      </c>
    </row>
    <row r="75" spans="1:14" ht="14.95" thickBot="1" x14ac:dyDescent="0.3">
      <c r="B75" s="36" t="s">
        <v>98</v>
      </c>
      <c r="C75" s="85"/>
      <c r="D75" s="9">
        <f>D72+D73+D74</f>
        <v>3.064340694582552</v>
      </c>
      <c r="E75" s="12" t="s">
        <v>15</v>
      </c>
    </row>
    <row r="76" spans="1:14" ht="14.95" thickBot="1" x14ac:dyDescent="0.3"/>
    <row r="77" spans="1:14" x14ac:dyDescent="0.25">
      <c r="B77" s="119" t="s">
        <v>21</v>
      </c>
      <c r="C77" s="120"/>
      <c r="D77" s="120"/>
      <c r="E77" s="121"/>
    </row>
    <row r="78" spans="1:14" ht="17" x14ac:dyDescent="0.25">
      <c r="B78" s="4" t="s">
        <v>18</v>
      </c>
      <c r="C78" s="84"/>
      <c r="D78" s="8">
        <f>((D31*((D21/D34)+D25)^2)+(1-D31)*D25^2)/(D47+D48)</f>
        <v>1.0895088620636353</v>
      </c>
      <c r="E78" s="10" t="s">
        <v>15</v>
      </c>
    </row>
    <row r="79" spans="1:14" ht="17" x14ac:dyDescent="0.25">
      <c r="B79" s="4" t="s">
        <v>19</v>
      </c>
      <c r="C79" s="84"/>
      <c r="D79" s="8">
        <f>D73</f>
        <v>0.61556829689901249</v>
      </c>
      <c r="E79" s="10" t="s">
        <v>15</v>
      </c>
    </row>
    <row r="80" spans="1:14" x14ac:dyDescent="0.25">
      <c r="B80" s="4" t="s">
        <v>20</v>
      </c>
      <c r="C80" s="84"/>
      <c r="D80" s="8">
        <f>(Q29+D38*D30*0.000001)*D25*1000</f>
        <v>45.54</v>
      </c>
      <c r="E80" s="10" t="s">
        <v>15</v>
      </c>
    </row>
    <row r="81" spans="1:7" ht="14.95" thickBot="1" x14ac:dyDescent="0.3">
      <c r="B81" s="36" t="s">
        <v>99</v>
      </c>
      <c r="C81" s="85"/>
      <c r="D81" s="9">
        <f>D78+D79+D80</f>
        <v>47.245077158962644</v>
      </c>
      <c r="E81" s="12" t="s">
        <v>15</v>
      </c>
    </row>
    <row r="82" spans="1:7" x14ac:dyDescent="0.25">
      <c r="B82" s="45"/>
      <c r="C82" s="45"/>
      <c r="D82" s="45"/>
      <c r="E82" s="97"/>
      <c r="F82" s="45"/>
      <c r="G82" s="45"/>
    </row>
    <row r="83" spans="1:7" x14ac:dyDescent="0.25">
      <c r="A83" s="45"/>
      <c r="B83" s="45"/>
      <c r="C83" s="45"/>
      <c r="D83" s="45"/>
      <c r="E83" s="97"/>
      <c r="F83" s="45"/>
      <c r="G83" s="45"/>
    </row>
    <row r="84" spans="1:7" x14ac:dyDescent="0.25">
      <c r="A84" s="45"/>
      <c r="B84" s="45"/>
      <c r="C84" s="45"/>
      <c r="D84" s="45"/>
      <c r="E84" s="97"/>
      <c r="F84" s="45"/>
      <c r="G84" s="45"/>
    </row>
    <row r="85" spans="1:7" x14ac:dyDescent="0.25">
      <c r="A85" s="45"/>
      <c r="B85" s="45"/>
      <c r="C85" s="45"/>
      <c r="D85" s="45"/>
      <c r="E85" s="97"/>
      <c r="F85" s="45"/>
      <c r="G85" s="45"/>
    </row>
    <row r="86" spans="1:7" x14ac:dyDescent="0.25">
      <c r="A86" s="45"/>
      <c r="B86" s="45"/>
      <c r="C86" s="45"/>
      <c r="D86" s="45"/>
      <c r="E86" s="97"/>
      <c r="F86" s="45"/>
      <c r="G86" s="45"/>
    </row>
    <row r="87" spans="1:7" x14ac:dyDescent="0.25">
      <c r="A87" s="45"/>
      <c r="B87" s="45"/>
      <c r="C87" s="45"/>
      <c r="D87" s="45"/>
      <c r="E87" s="97"/>
      <c r="F87" s="45"/>
      <c r="G87" s="45"/>
    </row>
    <row r="88" spans="1:7" x14ac:dyDescent="0.25">
      <c r="A88" s="45"/>
      <c r="B88" s="45"/>
      <c r="C88" s="45"/>
      <c r="D88" s="45"/>
      <c r="E88" s="97"/>
      <c r="F88" s="45"/>
      <c r="G88" s="45"/>
    </row>
    <row r="89" spans="1:7" x14ac:dyDescent="0.25">
      <c r="A89" s="45"/>
      <c r="B89" s="45"/>
      <c r="C89" s="45"/>
      <c r="D89" s="45"/>
      <c r="E89" s="97"/>
      <c r="F89" s="45"/>
      <c r="G89" s="45"/>
    </row>
    <row r="90" spans="1:7" x14ac:dyDescent="0.25">
      <c r="A90" s="45"/>
      <c r="B90" s="45"/>
      <c r="C90" s="45"/>
      <c r="D90" s="45"/>
      <c r="E90" s="97"/>
      <c r="F90" s="45"/>
      <c r="G90" s="45"/>
    </row>
    <row r="91" spans="1:7" x14ac:dyDescent="0.25">
      <c r="A91" s="45"/>
      <c r="B91" s="45"/>
      <c r="C91" s="45"/>
      <c r="D91" s="45"/>
      <c r="E91" s="97"/>
      <c r="F91" s="45"/>
      <c r="G91" s="45"/>
    </row>
    <row r="92" spans="1:7" x14ac:dyDescent="0.25">
      <c r="A92" s="45"/>
      <c r="B92" s="45"/>
      <c r="C92" s="45"/>
      <c r="D92" s="45"/>
      <c r="E92" s="97"/>
      <c r="F92" s="45"/>
      <c r="G92" s="45"/>
    </row>
    <row r="93" spans="1:7" x14ac:dyDescent="0.25">
      <c r="A93" s="45"/>
      <c r="B93" s="45"/>
      <c r="C93" s="45"/>
      <c r="D93" s="45"/>
      <c r="E93" s="97"/>
      <c r="F93" s="45"/>
      <c r="G93" s="45"/>
    </row>
    <row r="94" spans="1:7" x14ac:dyDescent="0.25">
      <c r="A94" s="45"/>
      <c r="B94" s="45"/>
      <c r="C94" s="45"/>
      <c r="D94" s="45"/>
      <c r="E94" s="97"/>
      <c r="F94" s="45"/>
      <c r="G94" s="45"/>
    </row>
    <row r="95" spans="1:7" x14ac:dyDescent="0.25">
      <c r="A95" s="45"/>
      <c r="B95" s="45"/>
      <c r="C95" s="45"/>
      <c r="D95" s="45"/>
      <c r="E95" s="97"/>
      <c r="F95" s="45"/>
      <c r="G95" s="45"/>
    </row>
    <row r="96" spans="1:7" x14ac:dyDescent="0.25">
      <c r="A96" s="45"/>
      <c r="B96" s="45"/>
      <c r="C96" s="45"/>
      <c r="D96" s="45"/>
      <c r="E96" s="97"/>
      <c r="F96" s="45"/>
      <c r="G96" s="45"/>
    </row>
    <row r="97" spans="1:7" x14ac:dyDescent="0.25">
      <c r="A97" s="45"/>
      <c r="B97" s="45"/>
      <c r="C97" s="45"/>
      <c r="D97" s="45"/>
      <c r="E97" s="97"/>
      <c r="F97" s="45"/>
      <c r="G97" s="45"/>
    </row>
    <row r="98" spans="1:7" x14ac:dyDescent="0.25">
      <c r="A98" s="45"/>
      <c r="B98" s="45"/>
      <c r="C98" s="45"/>
      <c r="D98" s="45"/>
      <c r="E98" s="97"/>
      <c r="F98" s="45"/>
      <c r="G98" s="45"/>
    </row>
    <row r="99" spans="1:7" x14ac:dyDescent="0.25">
      <c r="A99" s="45"/>
      <c r="B99" s="45"/>
      <c r="C99" s="45"/>
      <c r="D99" s="45"/>
      <c r="E99" s="97"/>
      <c r="F99" s="45"/>
      <c r="G99" s="45"/>
    </row>
    <row r="100" spans="1:7" x14ac:dyDescent="0.25">
      <c r="A100" s="45"/>
      <c r="B100" s="45"/>
      <c r="C100" s="45"/>
      <c r="D100" s="45"/>
      <c r="E100" s="97"/>
      <c r="F100" s="45"/>
      <c r="G100" s="45"/>
    </row>
    <row r="101" spans="1:7" x14ac:dyDescent="0.25">
      <c r="A101" s="45"/>
      <c r="B101" s="45"/>
      <c r="C101" s="45"/>
      <c r="D101" s="45"/>
      <c r="E101" s="97"/>
      <c r="F101" s="45"/>
      <c r="G101" s="45"/>
    </row>
    <row r="102" spans="1:7" x14ac:dyDescent="0.25">
      <c r="A102" s="45"/>
      <c r="B102" s="45"/>
      <c r="C102" s="45"/>
      <c r="D102" s="45"/>
      <c r="E102" s="97"/>
      <c r="F102" s="45"/>
      <c r="G102" s="45"/>
    </row>
    <row r="103" spans="1:7" x14ac:dyDescent="0.25">
      <c r="A103" s="45"/>
      <c r="B103" s="45"/>
      <c r="C103" s="45"/>
      <c r="D103" s="45"/>
      <c r="E103" s="97"/>
      <c r="F103" s="45"/>
      <c r="G103" s="45"/>
    </row>
    <row r="104" spans="1:7" x14ac:dyDescent="0.25">
      <c r="A104" s="45"/>
      <c r="B104" s="45"/>
      <c r="C104" s="45"/>
      <c r="D104" s="45"/>
      <c r="E104" s="97"/>
      <c r="F104" s="45"/>
      <c r="G104" s="45"/>
    </row>
    <row r="105" spans="1:7" x14ac:dyDescent="0.25">
      <c r="A105" s="45"/>
      <c r="B105" s="45"/>
      <c r="C105" s="45"/>
      <c r="D105" s="45"/>
      <c r="E105" s="97"/>
      <c r="F105" s="45"/>
      <c r="G105" s="45"/>
    </row>
    <row r="106" spans="1:7" x14ac:dyDescent="0.25">
      <c r="A106" s="45"/>
      <c r="B106" s="45"/>
      <c r="C106" s="45"/>
      <c r="D106" s="45"/>
      <c r="E106" s="97"/>
      <c r="F106" s="45"/>
      <c r="G106" s="45"/>
    </row>
    <row r="107" spans="1:7" ht="19.05" x14ac:dyDescent="0.35">
      <c r="A107" s="45"/>
      <c r="B107" s="41"/>
      <c r="C107" s="45"/>
      <c r="D107" s="45"/>
      <c r="E107" s="98"/>
      <c r="F107" s="45"/>
      <c r="G107" s="45"/>
    </row>
    <row r="108" spans="1:7" ht="19.05" x14ac:dyDescent="0.35">
      <c r="A108" s="45"/>
      <c r="B108" s="41"/>
      <c r="C108" s="45"/>
      <c r="D108" s="45"/>
      <c r="E108" s="98"/>
      <c r="F108" s="45"/>
      <c r="G108" s="45"/>
    </row>
    <row r="109" spans="1:7" x14ac:dyDescent="0.25">
      <c r="A109" s="45"/>
      <c r="B109" s="45"/>
      <c r="C109" s="45"/>
      <c r="D109" s="45"/>
      <c r="E109" s="98"/>
      <c r="F109" s="45"/>
      <c r="G109" s="45"/>
    </row>
    <row r="110" spans="1:7" x14ac:dyDescent="0.25">
      <c r="A110" s="45"/>
      <c r="B110" s="45"/>
      <c r="C110" s="45"/>
      <c r="D110" s="45"/>
      <c r="E110" s="98"/>
      <c r="F110" s="45"/>
      <c r="G110" s="45"/>
    </row>
    <row r="111" spans="1:7" x14ac:dyDescent="0.25">
      <c r="A111" s="45"/>
      <c r="B111" s="1"/>
      <c r="C111" s="45"/>
      <c r="D111" s="45"/>
      <c r="E111" s="98"/>
      <c r="F111" s="45"/>
      <c r="G111" s="45"/>
    </row>
    <row r="112" spans="1:7" x14ac:dyDescent="0.25">
      <c r="A112" s="45"/>
      <c r="B112" s="1"/>
      <c r="C112" s="45"/>
      <c r="D112" s="45"/>
      <c r="E112" s="98"/>
      <c r="F112" s="45"/>
      <c r="G112" s="45"/>
    </row>
    <row r="113" spans="1:7" x14ac:dyDescent="0.25">
      <c r="A113" s="45"/>
      <c r="B113" s="1"/>
      <c r="C113" s="45"/>
      <c r="D113" s="45"/>
      <c r="E113" s="98"/>
      <c r="F113" s="45"/>
      <c r="G113" s="45"/>
    </row>
    <row r="114" spans="1:7" x14ac:dyDescent="0.25">
      <c r="A114" s="45"/>
      <c r="B114" s="45"/>
      <c r="C114" s="45"/>
      <c r="D114" s="45"/>
      <c r="E114" s="97"/>
      <c r="F114" s="45"/>
      <c r="G114" s="45"/>
    </row>
    <row r="115" spans="1:7" x14ac:dyDescent="0.25">
      <c r="A115" s="45"/>
      <c r="B115" s="45"/>
      <c r="C115" s="45"/>
      <c r="D115" s="45"/>
      <c r="E115" s="97"/>
      <c r="F115" s="45"/>
      <c r="G115" s="45"/>
    </row>
  </sheetData>
  <sheetProtection password="EB9D" sheet="1" objects="1" scenarios="1" selectLockedCells="1"/>
  <mergeCells count="22">
    <mergeCell ref="C3:D3"/>
    <mergeCell ref="B64:E64"/>
    <mergeCell ref="B2:F2"/>
    <mergeCell ref="B4:F4"/>
    <mergeCell ref="B5:F8"/>
    <mergeCell ref="B9:F9"/>
    <mergeCell ref="B10:F10"/>
    <mergeCell ref="B37:E37"/>
    <mergeCell ref="B33:E33"/>
    <mergeCell ref="B29:E29"/>
    <mergeCell ref="B19:E19"/>
    <mergeCell ref="B23:E23"/>
    <mergeCell ref="B71:E71"/>
    <mergeCell ref="B77:E77"/>
    <mergeCell ref="B45:E45"/>
    <mergeCell ref="B11:F11"/>
    <mergeCell ref="B12:F12"/>
    <mergeCell ref="B14:F15"/>
    <mergeCell ref="B17:C17"/>
    <mergeCell ref="B46:E46"/>
    <mergeCell ref="B56:E56"/>
    <mergeCell ref="B42:F4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Design Inputs &amp; Calculations</vt:lpstr>
    </vt:vector>
  </TitlesOfParts>
  <Company>Texas Instruments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Griffin, John</dc:creator>
  <cp:lastModifiedBy>DELL</cp:lastModifiedBy>
  <dcterms:created xsi:type="dcterms:W3CDTF">2015-03-24T11:55:59Z</dcterms:created>
  <dcterms:modified xsi:type="dcterms:W3CDTF">2020-03-06T13:44:29Z</dcterms:modified>
</cp:coreProperties>
</file>